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ocations" sheetId="1" state="visible" r:id="rId3"/>
    <sheet name="Distance Matrix (ft)" sheetId="2" state="visible" r:id="rId4"/>
    <sheet name="All Pairs Sorted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<sst xmlns="http://schemas.openxmlformats.org/spreadsheetml/2006/main" count="369" uniqueCount="27">
  <si>
    <t xml:space="preserve">Name</t>
  </si>
  <si>
    <t xml:space="preserve">Latitude</t>
  </si>
  <si>
    <t xml:space="preserve">Longitude</t>
  </si>
  <si>
    <t xml:space="preserve">Source: Google Places geocoding; straight-line (haversine) coordinates.</t>
  </si>
  <si>
    <t xml:space="preserve">Stanford Court</t>
  </si>
  <si>
    <t xml:space="preserve">Princeton Court</t>
  </si>
  <si>
    <t xml:space="preserve">Oxford Court</t>
  </si>
  <si>
    <t xml:space="preserve">Ambrose</t>
  </si>
  <si>
    <t xml:space="preserve">Dartmouth Court</t>
  </si>
  <si>
    <t xml:space="preserve">Columbia Court</t>
  </si>
  <si>
    <t xml:space="preserve">Berkeley Court</t>
  </si>
  <si>
    <t xml:space="preserve">Harvard Court</t>
  </si>
  <si>
    <t xml:space="preserve">Cornell Court</t>
  </si>
  <si>
    <t xml:space="preserve">Mesa Court</t>
  </si>
  <si>
    <t xml:space="preserve">Middle Earth</t>
  </si>
  <si>
    <t xml:space="preserve">Puerta del Sol</t>
  </si>
  <si>
    <t xml:space="preserve">Verano</t>
  </si>
  <si>
    <t xml:space="preserve">Arroyo Vista</t>
  </si>
  <si>
    <t xml:space="preserve">Plaza Verde 1</t>
  </si>
  <si>
    <t xml:space="preserve">Plaza Verde 2</t>
  </si>
  <si>
    <t xml:space="preserve">Vista del Campo Norte</t>
  </si>
  <si>
    <t xml:space="preserve">Vista del Campo</t>
  </si>
  <si>
    <t xml:space="preserve">Camino del Sol</t>
  </si>
  <si>
    <t xml:space="preserve">Location A</t>
  </si>
  <si>
    <t xml:space="preserve">Location B</t>
  </si>
  <si>
    <t xml:space="preserve">Distance (ft)</t>
  </si>
  <si>
    <t xml:space="preserve">Distance (mi)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</si>
</sst>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0.00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i val="true"/>
      <sz val="9"/>
      <color rgb="FF6B7280"/>
      <name val="Arial"/>
      <family val="0"/>
      <charset val="1"/>
    </font>
    <font>
      <sz val="1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D4ED8"/>
        <bgColor rgb="FF3366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45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1D4ED8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7280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3" min="2" style="0" width="14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E1" s="2" t="s">
        <v>3</v>
      </c>
    </row>
    <row r="2" customFormat="false" ht="15" hidden="false" customHeight="false" outlineLevel="0" collapsed="false">
      <c r="A2" s="3" t="s">
        <v>4</v>
      </c>
      <c r="B2" s="3" t="n">
        <v>33.6519428</v>
      </c>
      <c r="C2" s="3" t="n">
        <v>-117.8374849</v>
      </c>
    </row>
    <row r="3" customFormat="false" ht="15" hidden="false" customHeight="false" outlineLevel="0" collapsed="false">
      <c r="A3" s="3" t="s">
        <v>5</v>
      </c>
      <c r="B3" s="3" t="n">
        <v>33.6524</v>
      </c>
      <c r="C3" s="3" t="n">
        <v>-117.8365</v>
      </c>
    </row>
    <row r="4" customFormat="false" ht="15" hidden="false" customHeight="false" outlineLevel="0" collapsed="false">
      <c r="A4" s="3" t="s">
        <v>6</v>
      </c>
      <c r="B4" s="3" t="n">
        <v>33.6534774</v>
      </c>
      <c r="C4" s="3" t="n">
        <v>-117.838135</v>
      </c>
    </row>
    <row r="5" customFormat="false" ht="15" hidden="false" customHeight="false" outlineLevel="0" collapsed="false">
      <c r="A5" s="3" t="s">
        <v>7</v>
      </c>
      <c r="B5" s="3" t="n">
        <v>33.6529957</v>
      </c>
      <c r="C5" s="3" t="n">
        <v>-117.8350562</v>
      </c>
    </row>
    <row r="6" customFormat="false" ht="15" hidden="false" customHeight="false" outlineLevel="0" collapsed="false">
      <c r="A6" s="3" t="s">
        <v>8</v>
      </c>
      <c r="B6" s="3" t="n">
        <v>33.6514</v>
      </c>
      <c r="C6" s="3" t="n">
        <v>-117.8378</v>
      </c>
    </row>
    <row r="7" customFormat="false" ht="15" hidden="false" customHeight="false" outlineLevel="0" collapsed="false">
      <c r="A7" s="3" t="s">
        <v>9</v>
      </c>
      <c r="B7" s="3" t="n">
        <v>33.6494</v>
      </c>
      <c r="C7" s="3" t="n">
        <v>-117.8378</v>
      </c>
    </row>
    <row r="8" customFormat="false" ht="15" hidden="false" customHeight="false" outlineLevel="0" collapsed="false">
      <c r="A8" s="3" t="s">
        <v>10</v>
      </c>
      <c r="B8" s="3" t="n">
        <v>33.6489538</v>
      </c>
      <c r="C8" s="3" t="n">
        <v>-117.8371128</v>
      </c>
    </row>
    <row r="9" customFormat="false" ht="15" hidden="false" customHeight="false" outlineLevel="0" collapsed="false">
      <c r="A9" s="3" t="s">
        <v>11</v>
      </c>
      <c r="B9" s="3" t="n">
        <v>33.6502395</v>
      </c>
      <c r="C9" s="3" t="n">
        <v>-117.8345497</v>
      </c>
    </row>
    <row r="10" customFormat="false" ht="15" hidden="false" customHeight="false" outlineLevel="0" collapsed="false">
      <c r="A10" s="3" t="s">
        <v>12</v>
      </c>
      <c r="B10" s="3" t="n">
        <v>33.651</v>
      </c>
      <c r="C10" s="3" t="n">
        <v>-117.8355</v>
      </c>
    </row>
    <row r="11" customFormat="false" ht="15" hidden="false" customHeight="false" outlineLevel="0" collapsed="false">
      <c r="A11" s="3" t="s">
        <v>13</v>
      </c>
      <c r="B11" s="3" t="n">
        <v>33.6521107</v>
      </c>
      <c r="C11" s="3" t="n">
        <v>-117.8446509</v>
      </c>
    </row>
    <row r="12" customFormat="false" ht="15" hidden="false" customHeight="false" outlineLevel="0" collapsed="false">
      <c r="A12" s="3" t="s">
        <v>14</v>
      </c>
      <c r="B12" s="3" t="n">
        <v>33.6448829</v>
      </c>
      <c r="C12" s="3" t="n">
        <v>-117.8372379</v>
      </c>
    </row>
    <row r="13" customFormat="false" ht="15" hidden="false" customHeight="false" outlineLevel="0" collapsed="false">
      <c r="A13" s="3" t="s">
        <v>15</v>
      </c>
      <c r="B13" s="3" t="n">
        <v>33.6478177</v>
      </c>
      <c r="C13" s="3" t="n">
        <v>-117.8330364</v>
      </c>
    </row>
    <row r="14" customFormat="false" ht="15" hidden="false" customHeight="false" outlineLevel="0" collapsed="false">
      <c r="A14" s="3" t="s">
        <v>16</v>
      </c>
      <c r="B14" s="3" t="n">
        <v>33.6442952</v>
      </c>
      <c r="C14" s="3" t="n">
        <v>-117.8303251</v>
      </c>
    </row>
    <row r="15" customFormat="false" ht="15" hidden="false" customHeight="false" outlineLevel="0" collapsed="false">
      <c r="A15" s="3" t="s">
        <v>17</v>
      </c>
      <c r="B15" s="3" t="n">
        <v>33.6467589</v>
      </c>
      <c r="C15" s="3" t="n">
        <v>-117.8290433</v>
      </c>
    </row>
    <row r="16" customFormat="false" ht="15" hidden="false" customHeight="false" outlineLevel="0" collapsed="false">
      <c r="A16" s="3" t="s">
        <v>18</v>
      </c>
      <c r="B16" s="3" t="n">
        <v>33.6477741</v>
      </c>
      <c r="C16" s="3" t="n">
        <v>-117.8289856</v>
      </c>
    </row>
    <row r="17" customFormat="false" ht="15" hidden="false" customHeight="false" outlineLevel="0" collapsed="false">
      <c r="A17" s="3" t="s">
        <v>19</v>
      </c>
      <c r="B17" s="3" t="n">
        <v>33.6474</v>
      </c>
      <c r="C17" s="3" t="n">
        <v>-117.8281</v>
      </c>
    </row>
    <row r="18" customFormat="false" ht="15" hidden="false" customHeight="false" outlineLevel="0" collapsed="false">
      <c r="A18" s="3" t="s">
        <v>20</v>
      </c>
      <c r="B18" s="3" t="n">
        <v>33.64645</v>
      </c>
      <c r="C18" s="3" t="n">
        <v>-117.8234898</v>
      </c>
    </row>
    <row r="19" customFormat="false" ht="15" hidden="false" customHeight="false" outlineLevel="0" collapsed="false">
      <c r="A19" s="3" t="s">
        <v>21</v>
      </c>
      <c r="B19" s="3" t="n">
        <v>33.6443553</v>
      </c>
      <c r="C19" s="3" t="n">
        <v>-117.8232207</v>
      </c>
    </row>
    <row r="20" customFormat="false" ht="15" hidden="false" customHeight="false" outlineLevel="0" collapsed="false">
      <c r="A20" s="3" t="s">
        <v>22</v>
      </c>
      <c r="B20" s="3" t="n">
        <v>33.6444904</v>
      </c>
      <c r="C20" s="3" t="n">
        <v>-117.8248777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0" min="2" style="0" width="11"/>
  </cols>
  <sheetData>
    <row r="1" customFormat="false" ht="90" hidden="false" customHeight="true" outlineLevel="0" collapsed="false">
      <c r="A1" s="4"/>
      <c r="B1" s="5" t="str">
        <f aca="false">Locations!A2</f>
        <v>Stanford Court</v>
      </c>
      <c r="C1" s="5" t="str">
        <f aca="false">Locations!A3</f>
        <v>Princeton Court</v>
      </c>
      <c r="D1" s="5" t="str">
        <f aca="false">Locations!A4</f>
        <v>Oxford Court</v>
      </c>
      <c r="E1" s="5" t="str">
        <f aca="false">Locations!A5</f>
        <v>Ambrose</v>
      </c>
      <c r="F1" s="5" t="str">
        <f aca="false">Locations!A6</f>
        <v>Dartmouth Court</v>
      </c>
      <c r="G1" s="5" t="str">
        <f aca="false">Locations!A7</f>
        <v>Columbia Court</v>
      </c>
      <c r="H1" s="5" t="str">
        <f aca="false">Locations!A8</f>
        <v>Berkeley Court</v>
      </c>
      <c r="I1" s="5" t="str">
        <f aca="false">Locations!A9</f>
        <v>Harvard Court</v>
      </c>
      <c r="J1" s="5" t="str">
        <f aca="false">Locations!A10</f>
        <v>Cornell Court</v>
      </c>
      <c r="K1" s="5" t="str">
        <f aca="false">Locations!A11</f>
        <v>Mesa Court</v>
      </c>
      <c r="L1" s="5" t="str">
        <f aca="false">Locations!A12</f>
        <v>Middle Earth</v>
      </c>
      <c r="M1" s="5" t="str">
        <f aca="false">Locations!A13</f>
        <v>Puerta del Sol</v>
      </c>
      <c r="N1" s="5" t="str">
        <f aca="false">Locations!A14</f>
        <v>Verano</v>
      </c>
      <c r="O1" s="5" t="str">
        <f aca="false">Locations!A15</f>
        <v>Arroyo Vista</v>
      </c>
      <c r="P1" s="5" t="str">
        <f aca="false">Locations!A16</f>
        <v>Plaza Verde 1</v>
      </c>
      <c r="Q1" s="5" t="str">
        <f aca="false">Locations!A17</f>
        <v>Plaza Verde 2</v>
      </c>
      <c r="R1" s="5" t="str">
        <f aca="false">Locations!A18</f>
        <v>Vista del Campo Norte</v>
      </c>
      <c r="S1" s="5" t="str">
        <f aca="false">Locations!A19</f>
        <v>Vista del Campo</v>
      </c>
      <c r="T1" s="5" t="str">
        <f aca="false">Locations!A20</f>
        <v>Camino del Sol</v>
      </c>
    </row>
    <row r="2" customFormat="false" ht="15" hidden="false" customHeight="false" outlineLevel="0" collapsed="false">
      <c r="A2" s="6" t="str">
        <f aca="false">Locations!A2</f>
        <v>Stanford Court</v>
      </c>
      <c r="B2" s="7" t="n">
        <f aca="false">0</f>
        <v>0</v>
      </c>
      <c r="C2" s="7" t="n">
        <f aca="false">ROUND(3958.8*5280*ACOS(MIN(1,MAX(-1,SIN(RADIANS(Locations!$B2))*SIN(RADIANS(Locations!$B3))+COS(RADIANS(Locations!$B2))*COS(RADIANS(Locations!$B3))*COS(RADIANS(Locations!$C3-Locations!$C2))))),0)</f>
        <v>342</v>
      </c>
      <c r="D2" s="7" t="n">
        <f aca="false">ROUND(3958.8*5280*ACOS(MIN(1,MAX(-1,SIN(RADIANS(Locations!$B2))*SIN(RADIANS(Locations!$B4))+COS(RADIANS(Locations!$B2))*COS(RADIANS(Locations!$B4))*COS(RADIANS(Locations!$C4-Locations!$C2))))),0)</f>
        <v>594</v>
      </c>
      <c r="E2" s="7" t="n">
        <f aca="false">ROUND(3958.8*5280*ACOS(MIN(1,MAX(-1,SIN(RADIANS(Locations!$B2))*SIN(RADIANS(Locations!$B5))+COS(RADIANS(Locations!$B2))*COS(RADIANS(Locations!$B5))*COS(RADIANS(Locations!$C5-Locations!$C2))))),0)</f>
        <v>832</v>
      </c>
      <c r="F2" s="7" t="n">
        <f aca="false">ROUND(3958.8*5280*ACOS(MIN(1,MAX(-1,SIN(RADIANS(Locations!$B2))*SIN(RADIANS(Locations!$B6))+COS(RADIANS(Locations!$B2))*COS(RADIANS(Locations!$B6))*COS(RADIANS(Locations!$C6-Locations!$C2))))),0)</f>
        <v>220</v>
      </c>
      <c r="G2" s="7" t="n">
        <f aca="false">ROUND(3958.8*5280*ACOS(MIN(1,MAX(-1,SIN(RADIANS(Locations!$B2))*SIN(RADIANS(Locations!$B7))+COS(RADIANS(Locations!$B2))*COS(RADIANS(Locations!$B7))*COS(RADIANS(Locations!$C7-Locations!$C2))))),0)</f>
        <v>933</v>
      </c>
      <c r="H2" s="7" t="n">
        <f aca="false">ROUND(3958.8*5280*ACOS(MIN(1,MAX(-1,SIN(RADIANS(Locations!$B2))*SIN(RADIANS(Locations!$B8))+COS(RADIANS(Locations!$B2))*COS(RADIANS(Locations!$B8))*COS(RADIANS(Locations!$C8-Locations!$C2))))),0)</f>
        <v>1096</v>
      </c>
      <c r="I2" s="7" t="n">
        <f aca="false">ROUND(3958.8*5280*ACOS(MIN(1,MAX(-1,SIN(RADIANS(Locations!$B2))*SIN(RADIANS(Locations!$B9))+COS(RADIANS(Locations!$B2))*COS(RADIANS(Locations!$B9))*COS(RADIANS(Locations!$C9-Locations!$C2))))),0)</f>
        <v>1087</v>
      </c>
      <c r="J2" s="7" t="n">
        <f aca="false">ROUND(3958.8*5280*ACOS(MIN(1,MAX(-1,SIN(RADIANS(Locations!$B2))*SIN(RADIANS(Locations!$B10))+COS(RADIANS(Locations!$B2))*COS(RADIANS(Locations!$B10))*COS(RADIANS(Locations!$C10-Locations!$C2))))),0)</f>
        <v>694</v>
      </c>
      <c r="K2" s="7" t="n">
        <f aca="false">ROUND(3958.8*5280*ACOS(MIN(1,MAX(-1,SIN(RADIANS(Locations!$B2))*SIN(RADIANS(Locations!$B11))+COS(RADIANS(Locations!$B2))*COS(RADIANS(Locations!$B11))*COS(RADIANS(Locations!$C11-Locations!$C2))))),0)</f>
        <v>2177</v>
      </c>
      <c r="L2" s="7" t="n">
        <f aca="false">ROUND(3958.8*5280*ACOS(MIN(1,MAX(-1,SIN(RADIANS(Locations!$B2))*SIN(RADIANS(Locations!$B12))+COS(RADIANS(Locations!$B2))*COS(RADIANS(Locations!$B12))*COS(RADIANS(Locations!$C12-Locations!$C2))))),0)</f>
        <v>2577</v>
      </c>
      <c r="M2" s="7" t="n">
        <f aca="false">ROUND(3958.8*5280*ACOS(MIN(1,MAX(-1,SIN(RADIANS(Locations!$B2))*SIN(RADIANS(Locations!$B13))+COS(RADIANS(Locations!$B2))*COS(RADIANS(Locations!$B13))*COS(RADIANS(Locations!$C13-Locations!$C2))))),0)</f>
        <v>2022</v>
      </c>
      <c r="N2" s="7" t="n">
        <f aca="false">ROUND(3958.8*5280*ACOS(MIN(1,MAX(-1,SIN(RADIANS(Locations!$B2))*SIN(RADIANS(Locations!$B14))+COS(RADIANS(Locations!$B2))*COS(RADIANS(Locations!$B14))*COS(RADIANS(Locations!$C14-Locations!$C2))))),0)</f>
        <v>3537</v>
      </c>
      <c r="O2" s="7" t="n">
        <f aca="false">ROUND(3958.8*5280*ACOS(MIN(1,MAX(-1,SIN(RADIANS(Locations!$B2))*SIN(RADIANS(Locations!$B15))+COS(RADIANS(Locations!$B2))*COS(RADIANS(Locations!$B15))*COS(RADIANS(Locations!$C15-Locations!$C2))))),0)</f>
        <v>3186</v>
      </c>
      <c r="P2" s="7" t="n">
        <f aca="false">ROUND(3958.8*5280*ACOS(MIN(1,MAX(-1,SIN(RADIANS(Locations!$B2))*SIN(RADIANS(Locations!$B16))+COS(RADIANS(Locations!$B2))*COS(RADIANS(Locations!$B16))*COS(RADIANS(Locations!$C16-Locations!$C2))))),0)</f>
        <v>2996</v>
      </c>
      <c r="Q2" s="7" t="n">
        <f aca="false">ROUND(3958.8*5280*ACOS(MIN(1,MAX(-1,SIN(RADIANS(Locations!$B2))*SIN(RADIANS(Locations!$B17))+COS(RADIANS(Locations!$B2))*COS(RADIANS(Locations!$B17))*COS(RADIANS(Locations!$C17-Locations!$C2))))),0)</f>
        <v>3297</v>
      </c>
      <c r="R2" s="7" t="n">
        <f aca="false">ROUND(3958.8*5280*ACOS(MIN(1,MAX(-1,SIN(RADIANS(Locations!$B2))*SIN(RADIANS(Locations!$B18))+COS(RADIANS(Locations!$B2))*COS(RADIANS(Locations!$B18))*COS(RADIANS(Locations!$C18-Locations!$C2))))),0)</f>
        <v>4699</v>
      </c>
      <c r="S2" s="7" t="n">
        <f aca="false">ROUND(3958.8*5280*ACOS(MIN(1,MAX(-1,SIN(RADIANS(Locations!$B2))*SIN(RADIANS(Locations!$B19))+COS(RADIANS(Locations!$B2))*COS(RADIANS(Locations!$B19))*COS(RADIANS(Locations!$C19-Locations!$C2))))),0)</f>
        <v>5141</v>
      </c>
      <c r="T2" s="7" t="n">
        <f aca="false">ROUND(3958.8*5280*ACOS(MIN(1,MAX(-1,SIN(RADIANS(Locations!$B2))*SIN(RADIANS(Locations!$B20))+COS(RADIANS(Locations!$B2))*COS(RADIANS(Locations!$B20))*COS(RADIANS(Locations!$C20-Locations!$C2))))),0)</f>
        <v>4696</v>
      </c>
    </row>
    <row r="3" customFormat="false" ht="15" hidden="false" customHeight="false" outlineLevel="0" collapsed="false">
      <c r="A3" s="6" t="str">
        <f aca="false">Locations!A3</f>
        <v>Princeton Court</v>
      </c>
      <c r="B3" s="7" t="n">
        <f aca="false">ROUND(3958.8*5280*ACOS(MIN(1,MAX(-1,SIN(RADIANS(Locations!$B3))*SIN(RADIANS(Locations!$B2))+COS(RADIANS(Locations!$B3))*COS(RADIANS(Locations!$B2))*COS(RADIANS(Locations!$C2-Locations!$C3))))),0)</f>
        <v>342</v>
      </c>
      <c r="C3" s="7" t="n">
        <f aca="false">0</f>
        <v>0</v>
      </c>
      <c r="D3" s="7" t="n">
        <f aca="false">ROUND(3958.8*5280*ACOS(MIN(1,MAX(-1,SIN(RADIANS(Locations!$B3))*SIN(RADIANS(Locations!$B4))+COS(RADIANS(Locations!$B3))*COS(RADIANS(Locations!$B4))*COS(RADIANS(Locations!$C4-Locations!$C3))))),0)</f>
        <v>633</v>
      </c>
      <c r="E3" s="7" t="n">
        <f aca="false">ROUND(3958.8*5280*ACOS(MIN(1,MAX(-1,SIN(RADIANS(Locations!$B3))*SIN(RADIANS(Locations!$B5))+COS(RADIANS(Locations!$B3))*COS(RADIANS(Locations!$B5))*COS(RADIANS(Locations!$C5-Locations!$C3))))),0)</f>
        <v>489</v>
      </c>
      <c r="F3" s="7" t="n">
        <f aca="false">ROUND(3958.8*5280*ACOS(MIN(1,MAX(-1,SIN(RADIANS(Locations!$B3))*SIN(RADIANS(Locations!$B6))+COS(RADIANS(Locations!$B3))*COS(RADIANS(Locations!$B6))*COS(RADIANS(Locations!$C6-Locations!$C3))))),0)</f>
        <v>538</v>
      </c>
      <c r="G3" s="7" t="n">
        <f aca="false">ROUND(3958.8*5280*ACOS(MIN(1,MAX(-1,SIN(RADIANS(Locations!$B3))*SIN(RADIANS(Locations!$B7))+COS(RADIANS(Locations!$B3))*COS(RADIANS(Locations!$B7))*COS(RADIANS(Locations!$C7-Locations!$C3))))),0)</f>
        <v>1163</v>
      </c>
      <c r="H3" s="7" t="n">
        <f aca="false">ROUND(3958.8*5280*ACOS(MIN(1,MAX(-1,SIN(RADIANS(Locations!$B3))*SIN(RADIANS(Locations!$B8))+COS(RADIANS(Locations!$B3))*COS(RADIANS(Locations!$B8))*COS(RADIANS(Locations!$C8-Locations!$C3))))),0)</f>
        <v>1271</v>
      </c>
      <c r="I3" s="7" t="n">
        <f aca="false">ROUND(3958.8*5280*ACOS(MIN(1,MAX(-1,SIN(RADIANS(Locations!$B3))*SIN(RADIANS(Locations!$B9))+COS(RADIANS(Locations!$B3))*COS(RADIANS(Locations!$B9))*COS(RADIANS(Locations!$C9-Locations!$C3))))),0)</f>
        <v>986</v>
      </c>
      <c r="J3" s="7" t="n">
        <f aca="false">ROUND(3958.8*5280*ACOS(MIN(1,MAX(-1,SIN(RADIANS(Locations!$B3))*SIN(RADIANS(Locations!$B10))+COS(RADIANS(Locations!$B3))*COS(RADIANS(Locations!$B10))*COS(RADIANS(Locations!$C10-Locations!$C3))))),0)</f>
        <v>594</v>
      </c>
      <c r="K3" s="7" t="n">
        <f aca="false">ROUND(3958.8*5280*ACOS(MIN(1,MAX(-1,SIN(RADIANS(Locations!$B3))*SIN(RADIANS(Locations!$B11))+COS(RADIANS(Locations!$B3))*COS(RADIANS(Locations!$B11))*COS(RADIANS(Locations!$C11-Locations!$C3))))),0)</f>
        <v>2478</v>
      </c>
      <c r="L3" s="7" t="n">
        <f aca="false">ROUND(3958.8*5280*ACOS(MIN(1,MAX(-1,SIN(RADIANS(Locations!$B3))*SIN(RADIANS(Locations!$B12))+COS(RADIANS(Locations!$B3))*COS(RADIANS(Locations!$B12))*COS(RADIANS(Locations!$C12-Locations!$C3))))),0)</f>
        <v>2752</v>
      </c>
      <c r="M3" s="7" t="n">
        <f aca="false">ROUND(3958.8*5280*ACOS(MIN(1,MAX(-1,SIN(RADIANS(Locations!$B3))*SIN(RADIANS(Locations!$B13))+COS(RADIANS(Locations!$B3))*COS(RADIANS(Locations!$B13))*COS(RADIANS(Locations!$C13-Locations!$C3))))),0)</f>
        <v>1975</v>
      </c>
      <c r="N3" s="7" t="n">
        <f aca="false">ROUND(3958.8*5280*ACOS(MIN(1,MAX(-1,SIN(RADIANS(Locations!$B3))*SIN(RADIANS(Locations!$B14))+COS(RADIANS(Locations!$B3))*COS(RADIANS(Locations!$B14))*COS(RADIANS(Locations!$C14-Locations!$C3))))),0)</f>
        <v>3501</v>
      </c>
      <c r="O3" s="7" t="n">
        <f aca="false">ROUND(3958.8*5280*ACOS(MIN(1,MAX(-1,SIN(RADIANS(Locations!$B3))*SIN(RADIANS(Locations!$B15))+COS(RADIANS(Locations!$B3))*COS(RADIANS(Locations!$B15))*COS(RADIANS(Locations!$C15-Locations!$C3))))),0)</f>
        <v>3060</v>
      </c>
      <c r="P3" s="7" t="n">
        <f aca="false">ROUND(3958.8*5280*ACOS(MIN(1,MAX(-1,SIN(RADIANS(Locations!$B3))*SIN(RADIANS(Locations!$B16))+COS(RADIANS(Locations!$B3))*COS(RADIANS(Locations!$B16))*COS(RADIANS(Locations!$C16-Locations!$C3))))),0)</f>
        <v>2838</v>
      </c>
      <c r="Q3" s="7" t="n">
        <f aca="false">ROUND(3958.8*5280*ACOS(MIN(1,MAX(-1,SIN(RADIANS(Locations!$B3))*SIN(RADIANS(Locations!$B17))+COS(RADIANS(Locations!$B3))*COS(RADIANS(Locations!$B17))*COS(RADIANS(Locations!$C17-Locations!$C3))))),0)</f>
        <v>3136</v>
      </c>
      <c r="R3" s="7" t="n">
        <f aca="false">ROUND(3958.8*5280*ACOS(MIN(1,MAX(-1,SIN(RADIANS(Locations!$B3))*SIN(RADIANS(Locations!$B18))+COS(RADIANS(Locations!$B3))*COS(RADIANS(Locations!$B18))*COS(RADIANS(Locations!$C18-Locations!$C3))))),0)</f>
        <v>4508</v>
      </c>
      <c r="S3" s="7" t="n">
        <f aca="false">ROUND(3958.8*5280*ACOS(MIN(1,MAX(-1,SIN(RADIANS(Locations!$B3))*SIN(RADIANS(Locations!$B19))+COS(RADIANS(Locations!$B3))*COS(RADIANS(Locations!$B19))*COS(RADIANS(Locations!$C19-Locations!$C3))))),0)</f>
        <v>4988</v>
      </c>
      <c r="T3" s="7" t="n">
        <f aca="false">ROUND(3958.8*5280*ACOS(MIN(1,MAX(-1,SIN(RADIANS(Locations!$B3))*SIN(RADIANS(Locations!$B20))+COS(RADIANS(Locations!$B3))*COS(RADIANS(Locations!$B20))*COS(RADIANS(Locations!$C20-Locations!$C3))))),0)</f>
        <v>4559</v>
      </c>
    </row>
    <row r="4" customFormat="false" ht="15" hidden="false" customHeight="false" outlineLevel="0" collapsed="false">
      <c r="A4" s="6" t="str">
        <f aca="false">Locations!A4</f>
        <v>Oxford Court</v>
      </c>
      <c r="B4" s="7" t="n">
        <f aca="false">ROUND(3958.8*5280*ACOS(MIN(1,MAX(-1,SIN(RADIANS(Locations!$B4))*SIN(RADIANS(Locations!$B2))+COS(RADIANS(Locations!$B4))*COS(RADIANS(Locations!$B2))*COS(RADIANS(Locations!$C2-Locations!$C4))))),0)</f>
        <v>594</v>
      </c>
      <c r="C4" s="7" t="n">
        <f aca="false">ROUND(3958.8*5280*ACOS(MIN(1,MAX(-1,SIN(RADIANS(Locations!$B4))*SIN(RADIANS(Locations!$B3))+COS(RADIANS(Locations!$B4))*COS(RADIANS(Locations!$B3))*COS(RADIANS(Locations!$C3-Locations!$C4))))),0)</f>
        <v>633</v>
      </c>
      <c r="D4" s="7" t="n">
        <f aca="false">0</f>
        <v>0</v>
      </c>
      <c r="E4" s="7" t="n">
        <f aca="false">ROUND(3958.8*5280*ACOS(MIN(1,MAX(-1,SIN(RADIANS(Locations!$B4))*SIN(RADIANS(Locations!$B5))+COS(RADIANS(Locations!$B4))*COS(RADIANS(Locations!$B5))*COS(RADIANS(Locations!$C5-Locations!$C4))))),0)</f>
        <v>951</v>
      </c>
      <c r="F4" s="7" t="n">
        <f aca="false">ROUND(3958.8*5280*ACOS(MIN(1,MAX(-1,SIN(RADIANS(Locations!$B4))*SIN(RADIANS(Locations!$B6))+COS(RADIANS(Locations!$B4))*COS(RADIANS(Locations!$B6))*COS(RADIANS(Locations!$C6-Locations!$C4))))),0)</f>
        <v>765</v>
      </c>
      <c r="G4" s="7" t="n">
        <f aca="false">ROUND(3958.8*5280*ACOS(MIN(1,MAX(-1,SIN(RADIANS(Locations!$B4))*SIN(RADIANS(Locations!$B7))+COS(RADIANS(Locations!$B4))*COS(RADIANS(Locations!$B7))*COS(RADIANS(Locations!$C7-Locations!$C4))))),0)</f>
        <v>1491</v>
      </c>
      <c r="H4" s="7" t="n">
        <f aca="false">ROUND(3958.8*5280*ACOS(MIN(1,MAX(-1,SIN(RADIANS(Locations!$B4))*SIN(RADIANS(Locations!$B8))+COS(RADIANS(Locations!$B4))*COS(RADIANS(Locations!$B8))*COS(RADIANS(Locations!$C8-Locations!$C4))))),0)</f>
        <v>1679</v>
      </c>
      <c r="I4" s="7" t="n">
        <f aca="false">ROUND(3958.8*5280*ACOS(MIN(1,MAX(-1,SIN(RADIANS(Locations!$B4))*SIN(RADIANS(Locations!$B9))+COS(RADIANS(Locations!$B4))*COS(RADIANS(Locations!$B9))*COS(RADIANS(Locations!$C9-Locations!$C4))))),0)</f>
        <v>1606</v>
      </c>
      <c r="J4" s="7" t="n">
        <f aca="false">ROUND(3958.8*5280*ACOS(MIN(1,MAX(-1,SIN(RADIANS(Locations!$B4))*SIN(RADIANS(Locations!$B10))+COS(RADIANS(Locations!$B4))*COS(RADIANS(Locations!$B10))*COS(RADIANS(Locations!$C10-Locations!$C4))))),0)</f>
        <v>1207</v>
      </c>
      <c r="K4" s="7" t="n">
        <f aca="false">ROUND(3958.8*5280*ACOS(MIN(1,MAX(-1,SIN(RADIANS(Locations!$B4))*SIN(RADIANS(Locations!$B11))+COS(RADIANS(Locations!$B4))*COS(RADIANS(Locations!$B11))*COS(RADIANS(Locations!$C11-Locations!$C4))))),0)</f>
        <v>2041</v>
      </c>
      <c r="L4" s="7" t="n">
        <f aca="false">ROUND(3958.8*5280*ACOS(MIN(1,MAX(-1,SIN(RADIANS(Locations!$B4))*SIN(RADIANS(Locations!$B12))+COS(RADIANS(Locations!$B4))*COS(RADIANS(Locations!$B12))*COS(RADIANS(Locations!$C12-Locations!$C4))))),0)</f>
        <v>3147</v>
      </c>
      <c r="M4" s="7" t="n">
        <f aca="false">ROUND(3958.8*5280*ACOS(MIN(1,MAX(-1,SIN(RADIANS(Locations!$B4))*SIN(RADIANS(Locations!$B13))+COS(RADIANS(Locations!$B4))*COS(RADIANS(Locations!$B13))*COS(RADIANS(Locations!$C13-Locations!$C4))))),0)</f>
        <v>2581</v>
      </c>
      <c r="N4" s="7" t="n">
        <f aca="false">ROUND(3958.8*5280*ACOS(MIN(1,MAX(-1,SIN(RADIANS(Locations!$B4))*SIN(RADIANS(Locations!$B14))+COS(RADIANS(Locations!$B4))*COS(RADIANS(Locations!$B14))*COS(RADIANS(Locations!$C14-Locations!$C4))))),0)</f>
        <v>4104</v>
      </c>
      <c r="O4" s="7" t="n">
        <f aca="false">ROUND(3958.8*5280*ACOS(MIN(1,MAX(-1,SIN(RADIANS(Locations!$B4))*SIN(RADIANS(Locations!$B15))+COS(RADIANS(Locations!$B4))*COS(RADIANS(Locations!$B15))*COS(RADIANS(Locations!$C15-Locations!$C4))))),0)</f>
        <v>3692</v>
      </c>
      <c r="P4" s="7" t="n">
        <f aca="false">ROUND(3958.8*5280*ACOS(MIN(1,MAX(-1,SIN(RADIANS(Locations!$B4))*SIN(RADIANS(Locations!$B16))+COS(RADIANS(Locations!$B4))*COS(RADIANS(Locations!$B16))*COS(RADIANS(Locations!$C16-Locations!$C4))))),0)</f>
        <v>3471</v>
      </c>
      <c r="Q4" s="7" t="n">
        <f aca="false">ROUND(3958.8*5280*ACOS(MIN(1,MAX(-1,SIN(RADIANS(Locations!$B4))*SIN(RADIANS(Locations!$B17))+COS(RADIANS(Locations!$B4))*COS(RADIANS(Locations!$B17))*COS(RADIANS(Locations!$C17-Locations!$C4))))),0)</f>
        <v>3769</v>
      </c>
      <c r="R4" s="7" t="n">
        <f aca="false">ROUND(3958.8*5280*ACOS(MIN(1,MAX(-1,SIN(RADIANS(Locations!$B4))*SIN(RADIANS(Locations!$B18))+COS(RADIANS(Locations!$B4))*COS(RADIANS(Locations!$B18))*COS(RADIANS(Locations!$C18-Locations!$C4))))),0)</f>
        <v>5134</v>
      </c>
      <c r="S4" s="7" t="n">
        <f aca="false">ROUND(3958.8*5280*ACOS(MIN(1,MAX(-1,SIN(RADIANS(Locations!$B4))*SIN(RADIANS(Locations!$B19))+COS(RADIANS(Locations!$B4))*COS(RADIANS(Locations!$B19))*COS(RADIANS(Locations!$C19-Locations!$C4))))),0)</f>
        <v>5620</v>
      </c>
      <c r="T4" s="7" t="n">
        <f aca="false">ROUND(3958.8*5280*ACOS(MIN(1,MAX(-1,SIN(RADIANS(Locations!$B4))*SIN(RADIANS(Locations!$B20))+COS(RADIANS(Locations!$B4))*COS(RADIANS(Locations!$B20))*COS(RADIANS(Locations!$C20-Locations!$C4))))),0)</f>
        <v>5192</v>
      </c>
    </row>
    <row r="5" customFormat="false" ht="15" hidden="false" customHeight="false" outlineLevel="0" collapsed="false">
      <c r="A5" s="6" t="str">
        <f aca="false">Locations!A5</f>
        <v>Ambrose</v>
      </c>
      <c r="B5" s="7" t="n">
        <f aca="false">ROUND(3958.8*5280*ACOS(MIN(1,MAX(-1,SIN(RADIANS(Locations!$B5))*SIN(RADIANS(Locations!$B2))+COS(RADIANS(Locations!$B5))*COS(RADIANS(Locations!$B2))*COS(RADIANS(Locations!$C2-Locations!$C5))))),0)</f>
        <v>832</v>
      </c>
      <c r="C5" s="7" t="n">
        <f aca="false">ROUND(3958.8*5280*ACOS(MIN(1,MAX(-1,SIN(RADIANS(Locations!$B5))*SIN(RADIANS(Locations!$B3))+COS(RADIANS(Locations!$B5))*COS(RADIANS(Locations!$B3))*COS(RADIANS(Locations!$C3-Locations!$C5))))),0)</f>
        <v>489</v>
      </c>
      <c r="D5" s="7" t="n">
        <f aca="false">ROUND(3958.8*5280*ACOS(MIN(1,MAX(-1,SIN(RADIANS(Locations!$B5))*SIN(RADIANS(Locations!$B4))+COS(RADIANS(Locations!$B5))*COS(RADIANS(Locations!$B4))*COS(RADIANS(Locations!$C4-Locations!$C5))))),0)</f>
        <v>951</v>
      </c>
      <c r="E5" s="7" t="n">
        <f aca="false">0</f>
        <v>0</v>
      </c>
      <c r="F5" s="7" t="n">
        <f aca="false">ROUND(3958.8*5280*ACOS(MIN(1,MAX(-1,SIN(RADIANS(Locations!$B5))*SIN(RADIANS(Locations!$B6))+COS(RADIANS(Locations!$B5))*COS(RADIANS(Locations!$B6))*COS(RADIANS(Locations!$C6-Locations!$C5))))),0)</f>
        <v>1016</v>
      </c>
      <c r="G5" s="7" t="n">
        <f aca="false">ROUND(3958.8*5280*ACOS(MIN(1,MAX(-1,SIN(RADIANS(Locations!$B5))*SIN(RADIANS(Locations!$B7))+COS(RADIANS(Locations!$B5))*COS(RADIANS(Locations!$B7))*COS(RADIANS(Locations!$C7-Locations!$C5))))),0)</f>
        <v>1554</v>
      </c>
      <c r="H5" s="7" t="n">
        <f aca="false">ROUND(3958.8*5280*ACOS(MIN(1,MAX(-1,SIN(RADIANS(Locations!$B5))*SIN(RADIANS(Locations!$B8))+COS(RADIANS(Locations!$B5))*COS(RADIANS(Locations!$B8))*COS(RADIANS(Locations!$C8-Locations!$C5))))),0)</f>
        <v>1601</v>
      </c>
      <c r="I5" s="7" t="n">
        <f aca="false">ROUND(3958.8*5280*ACOS(MIN(1,MAX(-1,SIN(RADIANS(Locations!$B5))*SIN(RADIANS(Locations!$B9))+COS(RADIANS(Locations!$B5))*COS(RADIANS(Locations!$B9))*COS(RADIANS(Locations!$C9-Locations!$C5))))),0)</f>
        <v>1017</v>
      </c>
      <c r="J5" s="7" t="n">
        <f aca="false">ROUND(3958.8*5280*ACOS(MIN(1,MAX(-1,SIN(RADIANS(Locations!$B5))*SIN(RADIANS(Locations!$B10))+COS(RADIANS(Locations!$B5))*COS(RADIANS(Locations!$B10))*COS(RADIANS(Locations!$C10-Locations!$C5))))),0)</f>
        <v>740</v>
      </c>
      <c r="K5" s="7" t="n">
        <f aca="false">ROUND(3958.8*5280*ACOS(MIN(1,MAX(-1,SIN(RADIANS(Locations!$B5))*SIN(RADIANS(Locations!$B11))+COS(RADIANS(Locations!$B5))*COS(RADIANS(Locations!$B11))*COS(RADIANS(Locations!$C11-Locations!$C5))))),0)</f>
        <v>2932</v>
      </c>
      <c r="L5" s="7" t="n">
        <f aca="false">ROUND(3958.8*5280*ACOS(MIN(1,MAX(-1,SIN(RADIANS(Locations!$B5))*SIN(RADIANS(Locations!$B12))+COS(RADIANS(Locations!$B5))*COS(RADIANS(Locations!$B12))*COS(RADIANS(Locations!$C12-Locations!$C5))))),0)</f>
        <v>3033</v>
      </c>
      <c r="M5" s="7" t="n">
        <f aca="false">ROUND(3958.8*5280*ACOS(MIN(1,MAX(-1,SIN(RADIANS(Locations!$B5))*SIN(RADIANS(Locations!$B13))+COS(RADIANS(Locations!$B5))*COS(RADIANS(Locations!$B13))*COS(RADIANS(Locations!$C13-Locations!$C5))))),0)</f>
        <v>1986</v>
      </c>
      <c r="N5" s="7" t="n">
        <f aca="false">ROUND(3958.8*5280*ACOS(MIN(1,MAX(-1,SIN(RADIANS(Locations!$B5))*SIN(RADIANS(Locations!$B14))+COS(RADIANS(Locations!$B5))*COS(RADIANS(Locations!$B14))*COS(RADIANS(Locations!$C14-Locations!$C5))))),0)</f>
        <v>3484</v>
      </c>
      <c r="O5" s="7" t="n">
        <f aca="false">ROUND(3958.8*5280*ACOS(MIN(1,MAX(-1,SIN(RADIANS(Locations!$B5))*SIN(RADIANS(Locations!$B15))+COS(RADIANS(Locations!$B5))*COS(RADIANS(Locations!$B15))*COS(RADIANS(Locations!$C15-Locations!$C5))))),0)</f>
        <v>2917</v>
      </c>
      <c r="P5" s="7" t="n">
        <f aca="false">ROUND(3958.8*5280*ACOS(MIN(1,MAX(-1,SIN(RADIANS(Locations!$B5))*SIN(RADIANS(Locations!$B16))+COS(RADIANS(Locations!$B5))*COS(RADIANS(Locations!$B16))*COS(RADIANS(Locations!$C16-Locations!$C5))))),0)</f>
        <v>2651</v>
      </c>
      <c r="Q5" s="7" t="n">
        <f aca="false">ROUND(3958.8*5280*ACOS(MIN(1,MAX(-1,SIN(RADIANS(Locations!$B5))*SIN(RADIANS(Locations!$B17))+COS(RADIANS(Locations!$B5))*COS(RADIANS(Locations!$B17))*COS(RADIANS(Locations!$C17-Locations!$C5))))),0)</f>
        <v>2938</v>
      </c>
      <c r="R5" s="7" t="n">
        <f aca="false">ROUND(3958.8*5280*ACOS(MIN(1,MAX(-1,SIN(RADIANS(Locations!$B5))*SIN(RADIANS(Locations!$B18))+COS(RADIANS(Locations!$B5))*COS(RADIANS(Locations!$B18))*COS(RADIANS(Locations!$C18-Locations!$C5))))),0)</f>
        <v>4247</v>
      </c>
      <c r="S5" s="7" t="n">
        <f aca="false">ROUND(3958.8*5280*ACOS(MIN(1,MAX(-1,SIN(RADIANS(Locations!$B5))*SIN(RADIANS(Locations!$B19))+COS(RADIANS(Locations!$B5))*COS(RADIANS(Locations!$B19))*COS(RADIANS(Locations!$C19-Locations!$C5))))),0)</f>
        <v>4781</v>
      </c>
      <c r="T5" s="7" t="n">
        <f aca="false">ROUND(3958.8*5280*ACOS(MIN(1,MAX(-1,SIN(RADIANS(Locations!$B5))*SIN(RADIANS(Locations!$B20))+COS(RADIANS(Locations!$B5))*COS(RADIANS(Locations!$B20))*COS(RADIANS(Locations!$C20-Locations!$C5))))),0)</f>
        <v>4380</v>
      </c>
    </row>
    <row r="6" customFormat="false" ht="15" hidden="false" customHeight="false" outlineLevel="0" collapsed="false">
      <c r="A6" s="6" t="str">
        <f aca="false">Locations!A6</f>
        <v>Dartmouth Court</v>
      </c>
      <c r="B6" s="7" t="n">
        <f aca="false">ROUND(3958.8*5280*ACOS(MIN(1,MAX(-1,SIN(RADIANS(Locations!$B6))*SIN(RADIANS(Locations!$B2))+COS(RADIANS(Locations!$B6))*COS(RADIANS(Locations!$B2))*COS(RADIANS(Locations!$C2-Locations!$C6))))),0)</f>
        <v>220</v>
      </c>
      <c r="C6" s="7" t="n">
        <f aca="false">ROUND(3958.8*5280*ACOS(MIN(1,MAX(-1,SIN(RADIANS(Locations!$B6))*SIN(RADIANS(Locations!$B3))+COS(RADIANS(Locations!$B6))*COS(RADIANS(Locations!$B3))*COS(RADIANS(Locations!$C3-Locations!$C6))))),0)</f>
        <v>538</v>
      </c>
      <c r="D6" s="7" t="n">
        <f aca="false">ROUND(3958.8*5280*ACOS(MIN(1,MAX(-1,SIN(RADIANS(Locations!$B6))*SIN(RADIANS(Locations!$B4))+COS(RADIANS(Locations!$B6))*COS(RADIANS(Locations!$B4))*COS(RADIANS(Locations!$C4-Locations!$C6))))),0)</f>
        <v>765</v>
      </c>
      <c r="E6" s="7" t="n">
        <f aca="false">ROUND(3958.8*5280*ACOS(MIN(1,MAX(-1,SIN(RADIANS(Locations!$B6))*SIN(RADIANS(Locations!$B5))+COS(RADIANS(Locations!$B6))*COS(RADIANS(Locations!$B5))*COS(RADIANS(Locations!$C5-Locations!$C6))))),0)</f>
        <v>1016</v>
      </c>
      <c r="F6" s="7" t="n">
        <f aca="false">0</f>
        <v>0</v>
      </c>
      <c r="G6" s="7" t="n">
        <f aca="false">ROUND(3958.8*5280*ACOS(MIN(1,MAX(-1,SIN(RADIANS(Locations!$B6))*SIN(RADIANS(Locations!$B7))+COS(RADIANS(Locations!$B6))*COS(RADIANS(Locations!$B7))*COS(RADIANS(Locations!$C7-Locations!$C6))))),0)</f>
        <v>730</v>
      </c>
      <c r="H6" s="7" t="n">
        <f aca="false">ROUND(3958.8*5280*ACOS(MIN(1,MAX(-1,SIN(RADIANS(Locations!$B6))*SIN(RADIANS(Locations!$B8))+COS(RADIANS(Locations!$B6))*COS(RADIANS(Locations!$B8))*COS(RADIANS(Locations!$C8-Locations!$C6))))),0)</f>
        <v>916</v>
      </c>
      <c r="I6" s="7" t="n">
        <f aca="false">ROUND(3958.8*5280*ACOS(MIN(1,MAX(-1,SIN(RADIANS(Locations!$B6))*SIN(RADIANS(Locations!$B9))+COS(RADIANS(Locations!$B6))*COS(RADIANS(Locations!$B9))*COS(RADIANS(Locations!$C9-Locations!$C6))))),0)</f>
        <v>1074</v>
      </c>
      <c r="J6" s="7" t="n">
        <f aca="false">ROUND(3958.8*5280*ACOS(MIN(1,MAX(-1,SIN(RADIANS(Locations!$B6))*SIN(RADIANS(Locations!$B10))+COS(RADIANS(Locations!$B6))*COS(RADIANS(Locations!$B10))*COS(RADIANS(Locations!$C10-Locations!$C6))))),0)</f>
        <v>714</v>
      </c>
      <c r="K6" s="7" t="n">
        <f aca="false">ROUND(3958.8*5280*ACOS(MIN(1,MAX(-1,SIN(RADIANS(Locations!$B6))*SIN(RADIANS(Locations!$B11))+COS(RADIANS(Locations!$B6))*COS(RADIANS(Locations!$B11))*COS(RADIANS(Locations!$C11-Locations!$C6))))),0)</f>
        <v>2097</v>
      </c>
      <c r="L6" s="7" t="n">
        <f aca="false">ROUND(3958.8*5280*ACOS(MIN(1,MAX(-1,SIN(RADIANS(Locations!$B6))*SIN(RADIANS(Locations!$B12))+COS(RADIANS(Locations!$B6))*COS(RADIANS(Locations!$B12))*COS(RADIANS(Locations!$C12-Locations!$C6))))),0)</f>
        <v>2384</v>
      </c>
      <c r="M6" s="7" t="n">
        <f aca="false">ROUND(3958.8*5280*ACOS(MIN(1,MAX(-1,SIN(RADIANS(Locations!$B6))*SIN(RADIANS(Locations!$B13))+COS(RADIANS(Locations!$B6))*COS(RADIANS(Locations!$B13))*COS(RADIANS(Locations!$C13-Locations!$C6))))),0)</f>
        <v>1950</v>
      </c>
      <c r="N6" s="7" t="n">
        <f aca="false">ROUND(3958.8*5280*ACOS(MIN(1,MAX(-1,SIN(RADIANS(Locations!$B6))*SIN(RADIANS(Locations!$B14))+COS(RADIANS(Locations!$B6))*COS(RADIANS(Locations!$B14))*COS(RADIANS(Locations!$C14-Locations!$C6))))),0)</f>
        <v>3446</v>
      </c>
      <c r="O6" s="7" t="n">
        <f aca="false">ROUND(3958.8*5280*ACOS(MIN(1,MAX(-1,SIN(RADIANS(Locations!$B6))*SIN(RADIANS(Locations!$B15))+COS(RADIANS(Locations!$B6))*COS(RADIANS(Locations!$B15))*COS(RADIANS(Locations!$C15-Locations!$C6))))),0)</f>
        <v>3153</v>
      </c>
      <c r="P6" s="7" t="n">
        <f aca="false">ROUND(3958.8*5280*ACOS(MIN(1,MAX(-1,SIN(RADIANS(Locations!$B6))*SIN(RADIANS(Locations!$B16))+COS(RADIANS(Locations!$B6))*COS(RADIANS(Locations!$B16))*COS(RADIANS(Locations!$C16-Locations!$C6))))),0)</f>
        <v>2986</v>
      </c>
      <c r="Q6" s="7" t="n">
        <f aca="false">ROUND(3958.8*5280*ACOS(MIN(1,MAX(-1,SIN(RADIANS(Locations!$B6))*SIN(RADIANS(Locations!$B17))+COS(RADIANS(Locations!$B6))*COS(RADIANS(Locations!$B17))*COS(RADIANS(Locations!$C17-Locations!$C6))))),0)</f>
        <v>3287</v>
      </c>
      <c r="R6" s="7" t="n">
        <f aca="false">ROUND(3958.8*5280*ACOS(MIN(1,MAX(-1,SIN(RADIANS(Locations!$B6))*SIN(RADIANS(Locations!$B18))+COS(RADIANS(Locations!$B6))*COS(RADIANS(Locations!$B18))*COS(RADIANS(Locations!$C18-Locations!$C6))))),0)</f>
        <v>4706</v>
      </c>
      <c r="S6" s="7" t="n">
        <f aca="false">ROUND(3958.8*5280*ACOS(MIN(1,MAX(-1,SIN(RADIANS(Locations!$B6))*SIN(RADIANS(Locations!$B19))+COS(RADIANS(Locations!$B6))*COS(RADIANS(Locations!$B19))*COS(RADIANS(Locations!$C19-Locations!$C6))))),0)</f>
        <v>5119</v>
      </c>
      <c r="T6" s="7" t="n">
        <f aca="false">ROUND(3958.8*5280*ACOS(MIN(1,MAX(-1,SIN(RADIANS(Locations!$B6))*SIN(RADIANS(Locations!$B20))+COS(RADIANS(Locations!$B6))*COS(RADIANS(Locations!$B20))*COS(RADIANS(Locations!$C20-Locations!$C6))))),0)</f>
        <v>4664</v>
      </c>
    </row>
    <row r="7" customFormat="false" ht="15" hidden="false" customHeight="false" outlineLevel="0" collapsed="false">
      <c r="A7" s="6" t="str">
        <f aca="false">Locations!A7</f>
        <v>Columbia Court</v>
      </c>
      <c r="B7" s="7" t="n">
        <f aca="false">ROUND(3958.8*5280*ACOS(MIN(1,MAX(-1,SIN(RADIANS(Locations!$B7))*SIN(RADIANS(Locations!$B2))+COS(RADIANS(Locations!$B7))*COS(RADIANS(Locations!$B2))*COS(RADIANS(Locations!$C2-Locations!$C7))))),0)</f>
        <v>933</v>
      </c>
      <c r="C7" s="7" t="n">
        <f aca="false">ROUND(3958.8*5280*ACOS(MIN(1,MAX(-1,SIN(RADIANS(Locations!$B7))*SIN(RADIANS(Locations!$B3))+COS(RADIANS(Locations!$B7))*COS(RADIANS(Locations!$B3))*COS(RADIANS(Locations!$C3-Locations!$C7))))),0)</f>
        <v>1163</v>
      </c>
      <c r="D7" s="7" t="n">
        <f aca="false">ROUND(3958.8*5280*ACOS(MIN(1,MAX(-1,SIN(RADIANS(Locations!$B7))*SIN(RADIANS(Locations!$B4))+COS(RADIANS(Locations!$B7))*COS(RADIANS(Locations!$B4))*COS(RADIANS(Locations!$C4-Locations!$C7))))),0)</f>
        <v>1491</v>
      </c>
      <c r="E7" s="7" t="n">
        <f aca="false">ROUND(3958.8*5280*ACOS(MIN(1,MAX(-1,SIN(RADIANS(Locations!$B7))*SIN(RADIANS(Locations!$B5))+COS(RADIANS(Locations!$B7))*COS(RADIANS(Locations!$B5))*COS(RADIANS(Locations!$C5-Locations!$C7))))),0)</f>
        <v>1554</v>
      </c>
      <c r="F7" s="7" t="n">
        <f aca="false">ROUND(3958.8*5280*ACOS(MIN(1,MAX(-1,SIN(RADIANS(Locations!$B7))*SIN(RADIANS(Locations!$B6))+COS(RADIANS(Locations!$B7))*COS(RADIANS(Locations!$B6))*COS(RADIANS(Locations!$C6-Locations!$C7))))),0)</f>
        <v>730</v>
      </c>
      <c r="G7" s="7" t="n">
        <f aca="false">0</f>
        <v>0</v>
      </c>
      <c r="H7" s="7" t="n">
        <f aca="false">ROUND(3958.8*5280*ACOS(MIN(1,MAX(-1,SIN(RADIANS(Locations!$B7))*SIN(RADIANS(Locations!$B8))+COS(RADIANS(Locations!$B7))*COS(RADIANS(Locations!$B8))*COS(RADIANS(Locations!$C8-Locations!$C7))))),0)</f>
        <v>265</v>
      </c>
      <c r="I7" s="7" t="n">
        <f aca="false">ROUND(3958.8*5280*ACOS(MIN(1,MAX(-1,SIN(RADIANS(Locations!$B7))*SIN(RADIANS(Locations!$B9))+COS(RADIANS(Locations!$B7))*COS(RADIANS(Locations!$B9))*COS(RADIANS(Locations!$C9-Locations!$C7))))),0)</f>
        <v>1033</v>
      </c>
      <c r="J7" s="7" t="n">
        <f aca="false">ROUND(3958.8*5280*ACOS(MIN(1,MAX(-1,SIN(RADIANS(Locations!$B7))*SIN(RADIANS(Locations!$B10))+COS(RADIANS(Locations!$B7))*COS(RADIANS(Locations!$B10))*COS(RADIANS(Locations!$C10-Locations!$C7))))),0)</f>
        <v>910</v>
      </c>
      <c r="K7" s="7" t="n">
        <f aca="false">ROUND(3958.8*5280*ACOS(MIN(1,MAX(-1,SIN(RADIANS(Locations!$B7))*SIN(RADIANS(Locations!$B11))+COS(RADIANS(Locations!$B7))*COS(RADIANS(Locations!$B11))*COS(RADIANS(Locations!$C11-Locations!$C7))))),0)</f>
        <v>2304</v>
      </c>
      <c r="L7" s="7" t="n">
        <f aca="false">ROUND(3958.8*5280*ACOS(MIN(1,MAX(-1,SIN(RADIANS(Locations!$B7))*SIN(RADIANS(Locations!$B12))+COS(RADIANS(Locations!$B7))*COS(RADIANS(Locations!$B12))*COS(RADIANS(Locations!$C12-Locations!$C7))))),0)</f>
        <v>1657</v>
      </c>
      <c r="M7" s="7" t="n">
        <f aca="false">ROUND(3958.8*5280*ACOS(MIN(1,MAX(-1,SIN(RADIANS(Locations!$B7))*SIN(RADIANS(Locations!$B13))+COS(RADIANS(Locations!$B7))*COS(RADIANS(Locations!$B13))*COS(RADIANS(Locations!$C13-Locations!$C7))))),0)</f>
        <v>1558</v>
      </c>
      <c r="N7" s="7" t="n">
        <f aca="false">ROUND(3958.8*5280*ACOS(MIN(1,MAX(-1,SIN(RADIANS(Locations!$B7))*SIN(RADIANS(Locations!$B14))+COS(RADIANS(Locations!$B7))*COS(RADIANS(Locations!$B14))*COS(RADIANS(Locations!$C14-Locations!$C7))))),0)</f>
        <v>2936</v>
      </c>
      <c r="O7" s="7" t="n">
        <f aca="false">ROUND(3958.8*5280*ACOS(MIN(1,MAX(-1,SIN(RADIANS(Locations!$B7))*SIN(RADIANS(Locations!$B15))+COS(RADIANS(Locations!$B7))*COS(RADIANS(Locations!$B15))*COS(RADIANS(Locations!$C15-Locations!$C7))))),0)</f>
        <v>2829</v>
      </c>
      <c r="P7" s="7" t="n">
        <f aca="false">ROUND(3958.8*5280*ACOS(MIN(1,MAX(-1,SIN(RADIANS(Locations!$B7))*SIN(RADIANS(Locations!$B16))+COS(RADIANS(Locations!$B7))*COS(RADIANS(Locations!$B16))*COS(RADIANS(Locations!$C16-Locations!$C7))))),0)</f>
        <v>2742</v>
      </c>
      <c r="Q7" s="7" t="n">
        <f aca="false">ROUND(3958.8*5280*ACOS(MIN(1,MAX(-1,SIN(RADIANS(Locations!$B7))*SIN(RADIANS(Locations!$B17))+COS(RADIANS(Locations!$B7))*COS(RADIANS(Locations!$B17))*COS(RADIANS(Locations!$C17-Locations!$C7))))),0)</f>
        <v>3035</v>
      </c>
      <c r="R7" s="7" t="n">
        <f aca="false">ROUND(3958.8*5280*ACOS(MIN(1,MAX(-1,SIN(RADIANS(Locations!$B7))*SIN(RADIANS(Locations!$B18))+COS(RADIANS(Locations!$B7))*COS(RADIANS(Locations!$B18))*COS(RADIANS(Locations!$C18-Locations!$C7))))),0)</f>
        <v>4477</v>
      </c>
      <c r="S7" s="7" t="n">
        <f aca="false">ROUND(3958.8*5280*ACOS(MIN(1,MAX(-1,SIN(RADIANS(Locations!$B7))*SIN(RADIANS(Locations!$B19))+COS(RADIANS(Locations!$B7))*COS(RADIANS(Locations!$B19))*COS(RADIANS(Locations!$C19-Locations!$C7))))),0)</f>
        <v>4795</v>
      </c>
      <c r="T7" s="7" t="n">
        <f aca="false">ROUND(3958.8*5280*ACOS(MIN(1,MAX(-1,SIN(RADIANS(Locations!$B7))*SIN(RADIANS(Locations!$B20))+COS(RADIANS(Locations!$B7))*COS(RADIANS(Locations!$B20))*COS(RADIANS(Locations!$C20-Locations!$C7))))),0)</f>
        <v>4314</v>
      </c>
    </row>
    <row r="8" customFormat="false" ht="15" hidden="false" customHeight="false" outlineLevel="0" collapsed="false">
      <c r="A8" s="6" t="str">
        <f aca="false">Locations!A8</f>
        <v>Berkeley Court</v>
      </c>
      <c r="B8" s="7" t="n">
        <f aca="false">ROUND(3958.8*5280*ACOS(MIN(1,MAX(-1,SIN(RADIANS(Locations!$B8))*SIN(RADIANS(Locations!$B2))+COS(RADIANS(Locations!$B8))*COS(RADIANS(Locations!$B2))*COS(RADIANS(Locations!$C2-Locations!$C8))))),0)</f>
        <v>1096</v>
      </c>
      <c r="C8" s="7" t="n">
        <f aca="false">ROUND(3958.8*5280*ACOS(MIN(1,MAX(-1,SIN(RADIANS(Locations!$B8))*SIN(RADIANS(Locations!$B3))+COS(RADIANS(Locations!$B8))*COS(RADIANS(Locations!$B3))*COS(RADIANS(Locations!$C3-Locations!$C8))))),0)</f>
        <v>1271</v>
      </c>
      <c r="D8" s="7" t="n">
        <f aca="false">ROUND(3958.8*5280*ACOS(MIN(1,MAX(-1,SIN(RADIANS(Locations!$B8))*SIN(RADIANS(Locations!$B4))+COS(RADIANS(Locations!$B8))*COS(RADIANS(Locations!$B4))*COS(RADIANS(Locations!$C4-Locations!$C8))))),0)</f>
        <v>1679</v>
      </c>
      <c r="E8" s="7" t="n">
        <f aca="false">ROUND(3958.8*5280*ACOS(MIN(1,MAX(-1,SIN(RADIANS(Locations!$B8))*SIN(RADIANS(Locations!$B5))+COS(RADIANS(Locations!$B8))*COS(RADIANS(Locations!$B5))*COS(RADIANS(Locations!$C5-Locations!$C8))))),0)</f>
        <v>1601</v>
      </c>
      <c r="F8" s="7" t="n">
        <f aca="false">ROUND(3958.8*5280*ACOS(MIN(1,MAX(-1,SIN(RADIANS(Locations!$B8))*SIN(RADIANS(Locations!$B6))+COS(RADIANS(Locations!$B8))*COS(RADIANS(Locations!$B6))*COS(RADIANS(Locations!$C6-Locations!$C8))))),0)</f>
        <v>916</v>
      </c>
      <c r="G8" s="7" t="n">
        <f aca="false">ROUND(3958.8*5280*ACOS(MIN(1,MAX(-1,SIN(RADIANS(Locations!$B8))*SIN(RADIANS(Locations!$B7))+COS(RADIANS(Locations!$B8))*COS(RADIANS(Locations!$B7))*COS(RADIANS(Locations!$C7-Locations!$C8))))),0)</f>
        <v>265</v>
      </c>
      <c r="H8" s="7" t="n">
        <f aca="false">0</f>
        <v>0</v>
      </c>
      <c r="I8" s="7" t="n">
        <f aca="false">ROUND(3958.8*5280*ACOS(MIN(1,MAX(-1,SIN(RADIANS(Locations!$B8))*SIN(RADIANS(Locations!$B9))+COS(RADIANS(Locations!$B8))*COS(RADIANS(Locations!$B9))*COS(RADIANS(Locations!$C9-Locations!$C8))))),0)</f>
        <v>909</v>
      </c>
      <c r="J8" s="7" t="n">
        <f aca="false">ROUND(3958.8*5280*ACOS(MIN(1,MAX(-1,SIN(RADIANS(Locations!$B8))*SIN(RADIANS(Locations!$B10))+COS(RADIANS(Locations!$B8))*COS(RADIANS(Locations!$B10))*COS(RADIANS(Locations!$C10-Locations!$C8))))),0)</f>
        <v>893</v>
      </c>
      <c r="K8" s="7" t="n">
        <f aca="false">ROUND(3958.8*5280*ACOS(MIN(1,MAX(-1,SIN(RADIANS(Locations!$B8))*SIN(RADIANS(Locations!$B11))+COS(RADIANS(Locations!$B8))*COS(RADIANS(Locations!$B11))*COS(RADIANS(Locations!$C11-Locations!$C8))))),0)</f>
        <v>2563</v>
      </c>
      <c r="L8" s="7" t="n">
        <f aca="false">ROUND(3958.8*5280*ACOS(MIN(1,MAX(-1,SIN(RADIANS(Locations!$B8))*SIN(RADIANS(Locations!$B12))+COS(RADIANS(Locations!$B8))*COS(RADIANS(Locations!$B12))*COS(RADIANS(Locations!$C12-Locations!$C8))))),0)</f>
        <v>1486</v>
      </c>
      <c r="M8" s="7" t="n">
        <f aca="false">ROUND(3958.8*5280*ACOS(MIN(1,MAX(-1,SIN(RADIANS(Locations!$B8))*SIN(RADIANS(Locations!$B13))+COS(RADIANS(Locations!$B8))*COS(RADIANS(Locations!$B13))*COS(RADIANS(Locations!$C13-Locations!$C8))))),0)</f>
        <v>1306</v>
      </c>
      <c r="N8" s="7" t="n">
        <f aca="false">ROUND(3958.8*5280*ACOS(MIN(1,MAX(-1,SIN(RADIANS(Locations!$B8))*SIN(RADIANS(Locations!$B14))+COS(RADIANS(Locations!$B8))*COS(RADIANS(Locations!$B14))*COS(RADIANS(Locations!$C14-Locations!$C8))))),0)</f>
        <v>2672</v>
      </c>
      <c r="O8" s="7" t="n">
        <f aca="false">ROUND(3958.8*5280*ACOS(MIN(1,MAX(-1,SIN(RADIANS(Locations!$B8))*SIN(RADIANS(Locations!$B15))+COS(RADIANS(Locations!$B8))*COS(RADIANS(Locations!$B15))*COS(RADIANS(Locations!$C15-Locations!$C8))))),0)</f>
        <v>2578</v>
      </c>
      <c r="P8" s="7" t="n">
        <f aca="false">ROUND(3958.8*5280*ACOS(MIN(1,MAX(-1,SIN(RADIANS(Locations!$B8))*SIN(RADIANS(Locations!$B16))+COS(RADIANS(Locations!$B8))*COS(RADIANS(Locations!$B16))*COS(RADIANS(Locations!$C16-Locations!$C8))))),0)</f>
        <v>2505</v>
      </c>
      <c r="Q8" s="7" t="n">
        <f aca="false">ROUND(3958.8*5280*ACOS(MIN(1,MAX(-1,SIN(RADIANS(Locations!$B8))*SIN(RADIANS(Locations!$B17))+COS(RADIANS(Locations!$B8))*COS(RADIANS(Locations!$B17))*COS(RADIANS(Locations!$C17-Locations!$C8))))),0)</f>
        <v>2795</v>
      </c>
      <c r="R8" s="7" t="n">
        <f aca="false">ROUND(3958.8*5280*ACOS(MIN(1,MAX(-1,SIN(RADIANS(Locations!$B8))*SIN(RADIANS(Locations!$B18))+COS(RADIANS(Locations!$B8))*COS(RADIANS(Locations!$B18))*COS(RADIANS(Locations!$C18-Locations!$C8))))),0)</f>
        <v>4237</v>
      </c>
      <c r="S8" s="7" t="n">
        <f aca="false">ROUND(3958.8*5280*ACOS(MIN(1,MAX(-1,SIN(RADIANS(Locations!$B8))*SIN(RADIANS(Locations!$B19))+COS(RADIANS(Locations!$B8))*COS(RADIANS(Locations!$B19))*COS(RADIANS(Locations!$C19-Locations!$C8))))),0)</f>
        <v>4540</v>
      </c>
      <c r="T8" s="7" t="n">
        <f aca="false">ROUND(3958.8*5280*ACOS(MIN(1,MAX(-1,SIN(RADIANS(Locations!$B8))*SIN(RADIANS(Locations!$B20))+COS(RADIANS(Locations!$B8))*COS(RADIANS(Locations!$B20))*COS(RADIANS(Locations!$C20-Locations!$C8))))),0)</f>
        <v>4057</v>
      </c>
    </row>
    <row r="9" customFormat="false" ht="15" hidden="false" customHeight="false" outlineLevel="0" collapsed="false">
      <c r="A9" s="6" t="str">
        <f aca="false">Locations!A9</f>
        <v>Harvard Court</v>
      </c>
      <c r="B9" s="7" t="n">
        <f aca="false">ROUND(3958.8*5280*ACOS(MIN(1,MAX(-1,SIN(RADIANS(Locations!$B9))*SIN(RADIANS(Locations!$B2))+COS(RADIANS(Locations!$B9))*COS(RADIANS(Locations!$B2))*COS(RADIANS(Locations!$C2-Locations!$C9))))),0)</f>
        <v>1087</v>
      </c>
      <c r="C9" s="7" t="n">
        <f aca="false">ROUND(3958.8*5280*ACOS(MIN(1,MAX(-1,SIN(RADIANS(Locations!$B9))*SIN(RADIANS(Locations!$B3))+COS(RADIANS(Locations!$B9))*COS(RADIANS(Locations!$B3))*COS(RADIANS(Locations!$C3-Locations!$C9))))),0)</f>
        <v>986</v>
      </c>
      <c r="D9" s="7" t="n">
        <f aca="false">ROUND(3958.8*5280*ACOS(MIN(1,MAX(-1,SIN(RADIANS(Locations!$B9))*SIN(RADIANS(Locations!$B4))+COS(RADIANS(Locations!$B9))*COS(RADIANS(Locations!$B4))*COS(RADIANS(Locations!$C4-Locations!$C9))))),0)</f>
        <v>1606</v>
      </c>
      <c r="E9" s="7" t="n">
        <f aca="false">ROUND(3958.8*5280*ACOS(MIN(1,MAX(-1,SIN(RADIANS(Locations!$B9))*SIN(RADIANS(Locations!$B5))+COS(RADIANS(Locations!$B9))*COS(RADIANS(Locations!$B5))*COS(RADIANS(Locations!$C5-Locations!$C9))))),0)</f>
        <v>1017</v>
      </c>
      <c r="F9" s="7" t="n">
        <f aca="false">ROUND(3958.8*5280*ACOS(MIN(1,MAX(-1,SIN(RADIANS(Locations!$B9))*SIN(RADIANS(Locations!$B6))+COS(RADIANS(Locations!$B9))*COS(RADIANS(Locations!$B6))*COS(RADIANS(Locations!$C6-Locations!$C9))))),0)</f>
        <v>1074</v>
      </c>
      <c r="G9" s="7" t="n">
        <f aca="false">ROUND(3958.8*5280*ACOS(MIN(1,MAX(-1,SIN(RADIANS(Locations!$B9))*SIN(RADIANS(Locations!$B7))+COS(RADIANS(Locations!$B9))*COS(RADIANS(Locations!$B7))*COS(RADIANS(Locations!$C7-Locations!$C9))))),0)</f>
        <v>1033</v>
      </c>
      <c r="H9" s="7" t="n">
        <f aca="false">ROUND(3958.8*5280*ACOS(MIN(1,MAX(-1,SIN(RADIANS(Locations!$B9))*SIN(RADIANS(Locations!$B8))+COS(RADIANS(Locations!$B9))*COS(RADIANS(Locations!$B8))*COS(RADIANS(Locations!$C8-Locations!$C9))))),0)</f>
        <v>909</v>
      </c>
      <c r="I9" s="7" t="n">
        <f aca="false">0</f>
        <v>0</v>
      </c>
      <c r="J9" s="7" t="n">
        <f aca="false">ROUND(3958.8*5280*ACOS(MIN(1,MAX(-1,SIN(RADIANS(Locations!$B9))*SIN(RADIANS(Locations!$B10))+COS(RADIANS(Locations!$B9))*COS(RADIANS(Locations!$B10))*COS(RADIANS(Locations!$C10-Locations!$C9))))),0)</f>
        <v>400</v>
      </c>
      <c r="K9" s="7" t="n">
        <f aca="false">ROUND(3958.8*5280*ACOS(MIN(1,MAX(-1,SIN(RADIANS(Locations!$B9))*SIN(RADIANS(Locations!$B11))+COS(RADIANS(Locations!$B9))*COS(RADIANS(Locations!$B11))*COS(RADIANS(Locations!$C11-Locations!$C9))))),0)</f>
        <v>3143</v>
      </c>
      <c r="L9" s="7" t="n">
        <f aca="false">ROUND(3958.8*5280*ACOS(MIN(1,MAX(-1,SIN(RADIANS(Locations!$B9))*SIN(RADIANS(Locations!$B12))+COS(RADIANS(Locations!$B9))*COS(RADIANS(Locations!$B12))*COS(RADIANS(Locations!$C12-Locations!$C9))))),0)</f>
        <v>2118</v>
      </c>
      <c r="M9" s="7" t="n">
        <f aca="false">ROUND(3958.8*5280*ACOS(MIN(1,MAX(-1,SIN(RADIANS(Locations!$B9))*SIN(RADIANS(Locations!$B13))+COS(RADIANS(Locations!$B9))*COS(RADIANS(Locations!$B13))*COS(RADIANS(Locations!$C13-Locations!$C9))))),0)</f>
        <v>996</v>
      </c>
      <c r="N9" s="7" t="n">
        <f aca="false">ROUND(3958.8*5280*ACOS(MIN(1,MAX(-1,SIN(RADIANS(Locations!$B9))*SIN(RADIANS(Locations!$B14))+COS(RADIANS(Locations!$B9))*COS(RADIANS(Locations!$B14))*COS(RADIANS(Locations!$C14-Locations!$C9))))),0)</f>
        <v>2520</v>
      </c>
      <c r="O9" s="7" t="n">
        <f aca="false">ROUND(3958.8*5280*ACOS(MIN(1,MAX(-1,SIN(RADIANS(Locations!$B9))*SIN(RADIANS(Locations!$B15))+COS(RADIANS(Locations!$B9))*COS(RADIANS(Locations!$B15))*COS(RADIANS(Locations!$C15-Locations!$C9))))),0)</f>
        <v>2100</v>
      </c>
      <c r="P9" s="7" t="n">
        <f aca="false">ROUND(3958.8*5280*ACOS(MIN(1,MAX(-1,SIN(RADIANS(Locations!$B9))*SIN(RADIANS(Locations!$B16))+COS(RADIANS(Locations!$B9))*COS(RADIANS(Locations!$B16))*COS(RADIANS(Locations!$C16-Locations!$C9))))),0)</f>
        <v>1914</v>
      </c>
      <c r="Q9" s="7" t="n">
        <f aca="false">ROUND(3958.8*5280*ACOS(MIN(1,MAX(-1,SIN(RADIANS(Locations!$B9))*SIN(RADIANS(Locations!$B17))+COS(RADIANS(Locations!$B9))*COS(RADIANS(Locations!$B17))*COS(RADIANS(Locations!$C17-Locations!$C9))))),0)</f>
        <v>2216</v>
      </c>
      <c r="R9" s="7" t="n">
        <f aca="false">ROUND(3958.8*5280*ACOS(MIN(1,MAX(-1,SIN(RADIANS(Locations!$B9))*SIN(RADIANS(Locations!$B18))+COS(RADIANS(Locations!$B9))*COS(RADIANS(Locations!$B18))*COS(RADIANS(Locations!$C18-Locations!$C9))))),0)</f>
        <v>3632</v>
      </c>
      <c r="S9" s="7" t="n">
        <f aca="false">ROUND(3958.8*5280*ACOS(MIN(1,MAX(-1,SIN(RADIANS(Locations!$B9))*SIN(RADIANS(Locations!$B19))+COS(RADIANS(Locations!$B9))*COS(RADIANS(Locations!$B19))*COS(RADIANS(Locations!$C19-Locations!$C9))))),0)</f>
        <v>4055</v>
      </c>
      <c r="T9" s="7" t="n">
        <f aca="false">ROUND(3958.8*5280*ACOS(MIN(1,MAX(-1,SIN(RADIANS(Locations!$B9))*SIN(RADIANS(Locations!$B20))+COS(RADIANS(Locations!$B9))*COS(RADIANS(Locations!$B20))*COS(RADIANS(Locations!$C20-Locations!$C9))))),0)</f>
        <v>3609</v>
      </c>
    </row>
    <row r="10" customFormat="false" ht="15" hidden="false" customHeight="false" outlineLevel="0" collapsed="false">
      <c r="A10" s="6" t="str">
        <f aca="false">Locations!A10</f>
        <v>Cornell Court</v>
      </c>
      <c r="B10" s="7" t="n">
        <f aca="false">ROUND(3958.8*5280*ACOS(MIN(1,MAX(-1,SIN(RADIANS(Locations!$B10))*SIN(RADIANS(Locations!$B2))+COS(RADIANS(Locations!$B10))*COS(RADIANS(Locations!$B2))*COS(RADIANS(Locations!$C2-Locations!$C10))))),0)</f>
        <v>694</v>
      </c>
      <c r="C10" s="7" t="n">
        <f aca="false">ROUND(3958.8*5280*ACOS(MIN(1,MAX(-1,SIN(RADIANS(Locations!$B10))*SIN(RADIANS(Locations!$B3))+COS(RADIANS(Locations!$B10))*COS(RADIANS(Locations!$B3))*COS(RADIANS(Locations!$C3-Locations!$C10))))),0)</f>
        <v>594</v>
      </c>
      <c r="D10" s="7" t="n">
        <f aca="false">ROUND(3958.8*5280*ACOS(MIN(1,MAX(-1,SIN(RADIANS(Locations!$B10))*SIN(RADIANS(Locations!$B4))+COS(RADIANS(Locations!$B10))*COS(RADIANS(Locations!$B4))*COS(RADIANS(Locations!$C4-Locations!$C10))))),0)</f>
        <v>1207</v>
      </c>
      <c r="E10" s="7" t="n">
        <f aca="false">ROUND(3958.8*5280*ACOS(MIN(1,MAX(-1,SIN(RADIANS(Locations!$B10))*SIN(RADIANS(Locations!$B5))+COS(RADIANS(Locations!$B10))*COS(RADIANS(Locations!$B5))*COS(RADIANS(Locations!$C5-Locations!$C10))))),0)</f>
        <v>740</v>
      </c>
      <c r="F10" s="7" t="n">
        <f aca="false">ROUND(3958.8*5280*ACOS(MIN(1,MAX(-1,SIN(RADIANS(Locations!$B10))*SIN(RADIANS(Locations!$B6))+COS(RADIANS(Locations!$B10))*COS(RADIANS(Locations!$B6))*COS(RADIANS(Locations!$C6-Locations!$C10))))),0)</f>
        <v>714</v>
      </c>
      <c r="G10" s="7" t="n">
        <f aca="false">ROUND(3958.8*5280*ACOS(MIN(1,MAX(-1,SIN(RADIANS(Locations!$B10))*SIN(RADIANS(Locations!$B7))+COS(RADIANS(Locations!$B10))*COS(RADIANS(Locations!$B7))*COS(RADIANS(Locations!$C7-Locations!$C10))))),0)</f>
        <v>910</v>
      </c>
      <c r="H10" s="7" t="n">
        <f aca="false">ROUND(3958.8*5280*ACOS(MIN(1,MAX(-1,SIN(RADIANS(Locations!$B10))*SIN(RADIANS(Locations!$B8))+COS(RADIANS(Locations!$B10))*COS(RADIANS(Locations!$B8))*COS(RADIANS(Locations!$C8-Locations!$C10))))),0)</f>
        <v>893</v>
      </c>
      <c r="I10" s="7" t="n">
        <f aca="false">ROUND(3958.8*5280*ACOS(MIN(1,MAX(-1,SIN(RADIANS(Locations!$B10))*SIN(RADIANS(Locations!$B9))+COS(RADIANS(Locations!$B10))*COS(RADIANS(Locations!$B9))*COS(RADIANS(Locations!$C9-Locations!$C10))))),0)</f>
        <v>400</v>
      </c>
      <c r="J10" s="7" t="n">
        <f aca="false">0</f>
        <v>0</v>
      </c>
      <c r="K10" s="7" t="n">
        <f aca="false">ROUND(3958.8*5280*ACOS(MIN(1,MAX(-1,SIN(RADIANS(Locations!$B10))*SIN(RADIANS(Locations!$B11))+COS(RADIANS(Locations!$B10))*COS(RADIANS(Locations!$B11))*COS(RADIANS(Locations!$C11-Locations!$C10))))),0)</f>
        <v>2808</v>
      </c>
      <c r="L10" s="7" t="n">
        <f aca="false">ROUND(3958.8*5280*ACOS(MIN(1,MAX(-1,SIN(RADIANS(Locations!$B10))*SIN(RADIANS(Locations!$B12))+COS(RADIANS(Locations!$B10))*COS(RADIANS(Locations!$B12))*COS(RADIANS(Locations!$C12-Locations!$C10))))),0)</f>
        <v>2293</v>
      </c>
      <c r="M10" s="7" t="n">
        <f aca="false">ROUND(3958.8*5280*ACOS(MIN(1,MAX(-1,SIN(RADIANS(Locations!$B10))*SIN(RADIANS(Locations!$B13))+COS(RADIANS(Locations!$B10))*COS(RADIANS(Locations!$B13))*COS(RADIANS(Locations!$C13-Locations!$C10))))),0)</f>
        <v>1381</v>
      </c>
      <c r="N10" s="7" t="n">
        <f aca="false">ROUND(3958.8*5280*ACOS(MIN(1,MAX(-1,SIN(RADIANS(Locations!$B10))*SIN(RADIANS(Locations!$B14))+COS(RADIANS(Locations!$B10))*COS(RADIANS(Locations!$B14))*COS(RADIANS(Locations!$C14-Locations!$C10))))),0)</f>
        <v>2907</v>
      </c>
      <c r="O10" s="7" t="n">
        <f aca="false">ROUND(3958.8*5280*ACOS(MIN(1,MAX(-1,SIN(RADIANS(Locations!$B10))*SIN(RADIANS(Locations!$B15))+COS(RADIANS(Locations!$B10))*COS(RADIANS(Locations!$B15))*COS(RADIANS(Locations!$C15-Locations!$C10))))),0)</f>
        <v>2498</v>
      </c>
      <c r="P10" s="7" t="n">
        <f aca="false">ROUND(3958.8*5280*ACOS(MIN(1,MAX(-1,SIN(RADIANS(Locations!$B10))*SIN(RADIANS(Locations!$B16))+COS(RADIANS(Locations!$B10))*COS(RADIANS(Locations!$B16))*COS(RADIANS(Locations!$C16-Locations!$C10))))),0)</f>
        <v>2302</v>
      </c>
      <c r="Q10" s="7" t="n">
        <f aca="false">ROUND(3958.8*5280*ACOS(MIN(1,MAX(-1,SIN(RADIANS(Locations!$B10))*SIN(RADIANS(Locations!$B17))+COS(RADIANS(Locations!$B10))*COS(RADIANS(Locations!$B17))*COS(RADIANS(Locations!$C17-Locations!$C10))))),0)</f>
        <v>2603</v>
      </c>
      <c r="R10" s="7" t="n">
        <f aca="false">ROUND(3958.8*5280*ACOS(MIN(1,MAX(-1,SIN(RADIANS(Locations!$B10))*SIN(RADIANS(Locations!$B18))+COS(RADIANS(Locations!$B10))*COS(RADIANS(Locations!$B18))*COS(RADIANS(Locations!$C18-Locations!$C10))))),0)</f>
        <v>4007</v>
      </c>
      <c r="S10" s="7" t="n">
        <f aca="false">ROUND(3958.8*5280*ACOS(MIN(1,MAX(-1,SIN(RADIANS(Locations!$B10))*SIN(RADIANS(Locations!$B19))+COS(RADIANS(Locations!$B10))*COS(RADIANS(Locations!$B19))*COS(RADIANS(Locations!$C19-Locations!$C10))))),0)</f>
        <v>4448</v>
      </c>
      <c r="T10" s="7" t="n">
        <f aca="false">ROUND(3958.8*5280*ACOS(MIN(1,MAX(-1,SIN(RADIANS(Locations!$B10))*SIN(RADIANS(Locations!$B20))+COS(RADIANS(Locations!$B10))*COS(RADIANS(Locations!$B20))*COS(RADIANS(Locations!$C20-Locations!$C10))))),0)</f>
        <v>4006</v>
      </c>
    </row>
    <row r="11" customFormat="false" ht="15" hidden="false" customHeight="false" outlineLevel="0" collapsed="false">
      <c r="A11" s="6" t="str">
        <f aca="false">Locations!A11</f>
        <v>Mesa Court</v>
      </c>
      <c r="B11" s="7" t="n">
        <f aca="false">ROUND(3958.8*5280*ACOS(MIN(1,MAX(-1,SIN(RADIANS(Locations!$B11))*SIN(RADIANS(Locations!$B2))+COS(RADIANS(Locations!$B11))*COS(RADIANS(Locations!$B2))*COS(RADIANS(Locations!$C2-Locations!$C11))))),0)</f>
        <v>2177</v>
      </c>
      <c r="C11" s="7" t="n">
        <f aca="false">ROUND(3958.8*5280*ACOS(MIN(1,MAX(-1,SIN(RADIANS(Locations!$B11))*SIN(RADIANS(Locations!$B3))+COS(RADIANS(Locations!$B11))*COS(RADIANS(Locations!$B3))*COS(RADIANS(Locations!$C3-Locations!$C11))))),0)</f>
        <v>2478</v>
      </c>
      <c r="D11" s="7" t="n">
        <f aca="false">ROUND(3958.8*5280*ACOS(MIN(1,MAX(-1,SIN(RADIANS(Locations!$B11))*SIN(RADIANS(Locations!$B4))+COS(RADIANS(Locations!$B11))*COS(RADIANS(Locations!$B4))*COS(RADIANS(Locations!$C4-Locations!$C11))))),0)</f>
        <v>2041</v>
      </c>
      <c r="E11" s="7" t="n">
        <f aca="false">ROUND(3958.8*5280*ACOS(MIN(1,MAX(-1,SIN(RADIANS(Locations!$B11))*SIN(RADIANS(Locations!$B5))+COS(RADIANS(Locations!$B11))*COS(RADIANS(Locations!$B5))*COS(RADIANS(Locations!$C5-Locations!$C11))))),0)</f>
        <v>2932</v>
      </c>
      <c r="F11" s="7" t="n">
        <f aca="false">ROUND(3958.8*5280*ACOS(MIN(1,MAX(-1,SIN(RADIANS(Locations!$B11))*SIN(RADIANS(Locations!$B6))+COS(RADIANS(Locations!$B11))*COS(RADIANS(Locations!$B6))*COS(RADIANS(Locations!$C6-Locations!$C11))))),0)</f>
        <v>2097</v>
      </c>
      <c r="G11" s="7" t="n">
        <f aca="false">ROUND(3958.8*5280*ACOS(MIN(1,MAX(-1,SIN(RADIANS(Locations!$B11))*SIN(RADIANS(Locations!$B7))+COS(RADIANS(Locations!$B11))*COS(RADIANS(Locations!$B7))*COS(RADIANS(Locations!$C7-Locations!$C11))))),0)</f>
        <v>2304</v>
      </c>
      <c r="H11" s="7" t="n">
        <f aca="false">ROUND(3958.8*5280*ACOS(MIN(1,MAX(-1,SIN(RADIANS(Locations!$B11))*SIN(RADIANS(Locations!$B8))+COS(RADIANS(Locations!$B11))*COS(RADIANS(Locations!$B8))*COS(RADIANS(Locations!$C8-Locations!$C11))))),0)</f>
        <v>2563</v>
      </c>
      <c r="I11" s="7" t="n">
        <f aca="false">ROUND(3958.8*5280*ACOS(MIN(1,MAX(-1,SIN(RADIANS(Locations!$B11))*SIN(RADIANS(Locations!$B9))+COS(RADIANS(Locations!$B11))*COS(RADIANS(Locations!$B9))*COS(RADIANS(Locations!$C9-Locations!$C11))))),0)</f>
        <v>3143</v>
      </c>
      <c r="J11" s="7" t="n">
        <f aca="false">ROUND(3958.8*5280*ACOS(MIN(1,MAX(-1,SIN(RADIANS(Locations!$B11))*SIN(RADIANS(Locations!$B10))+COS(RADIANS(Locations!$B11))*COS(RADIANS(Locations!$B10))*COS(RADIANS(Locations!$C10-Locations!$C11))))),0)</f>
        <v>2808</v>
      </c>
      <c r="K11" s="7" t="n">
        <f aca="false">0</f>
        <v>0</v>
      </c>
      <c r="L11" s="7" t="n">
        <f aca="false">ROUND(3958.8*5280*ACOS(MIN(1,MAX(-1,SIN(RADIANS(Locations!$B11))*SIN(RADIANS(Locations!$B12))+COS(RADIANS(Locations!$B11))*COS(RADIANS(Locations!$B12))*COS(RADIANS(Locations!$C12-Locations!$C11))))),0)</f>
        <v>3467</v>
      </c>
      <c r="M11" s="7" t="n">
        <f aca="false">ROUND(3958.8*5280*ACOS(MIN(1,MAX(-1,SIN(RADIANS(Locations!$B11))*SIN(RADIANS(Locations!$B13))+COS(RADIANS(Locations!$B11))*COS(RADIANS(Locations!$B13))*COS(RADIANS(Locations!$C13-Locations!$C11))))),0)</f>
        <v>3859</v>
      </c>
      <c r="N11" s="7" t="n">
        <f aca="false">ROUND(3958.8*5280*ACOS(MIN(1,MAX(-1,SIN(RADIANS(Locations!$B11))*SIN(RADIANS(Locations!$B14))+COS(RADIANS(Locations!$B11))*COS(RADIANS(Locations!$B14))*COS(RADIANS(Locations!$C14-Locations!$C11))))),0)</f>
        <v>5202</v>
      </c>
      <c r="O11" s="7" t="n">
        <f aca="false">ROUND(3958.8*5280*ACOS(MIN(1,MAX(-1,SIN(RADIANS(Locations!$B11))*SIN(RADIANS(Locations!$B15))+COS(RADIANS(Locations!$B11))*COS(RADIANS(Locations!$B15))*COS(RADIANS(Locations!$C15-Locations!$C11))))),0)</f>
        <v>5126</v>
      </c>
      <c r="P11" s="7" t="n">
        <f aca="false">ROUND(3958.8*5280*ACOS(MIN(1,MAX(-1,SIN(RADIANS(Locations!$B11))*SIN(RADIANS(Locations!$B16))+COS(RADIANS(Locations!$B11))*COS(RADIANS(Locations!$B16))*COS(RADIANS(Locations!$C16-Locations!$C11))))),0)</f>
        <v>5014</v>
      </c>
      <c r="Q11" s="7" t="n">
        <f aca="false">ROUND(3958.8*5280*ACOS(MIN(1,MAX(-1,SIN(RADIANS(Locations!$B11))*SIN(RADIANS(Locations!$B17))+COS(RADIANS(Locations!$B11))*COS(RADIANS(Locations!$B17))*COS(RADIANS(Locations!$C17-Locations!$C11))))),0)</f>
        <v>5312</v>
      </c>
      <c r="R11" s="7" t="n">
        <f aca="false">ROUND(3958.8*5280*ACOS(MIN(1,MAX(-1,SIN(RADIANS(Locations!$B11))*SIN(RADIANS(Locations!$B18))+COS(RADIANS(Locations!$B11))*COS(RADIANS(Locations!$B18))*COS(RADIANS(Locations!$C18-Locations!$C11))))),0)</f>
        <v>6750</v>
      </c>
      <c r="S11" s="7" t="n">
        <f aca="false">ROUND(3958.8*5280*ACOS(MIN(1,MAX(-1,SIN(RADIANS(Locations!$B11))*SIN(RADIANS(Locations!$B19))+COS(RADIANS(Locations!$B11))*COS(RADIANS(Locations!$B19))*COS(RADIANS(Locations!$C19-Locations!$C11))))),0)</f>
        <v>7097</v>
      </c>
      <c r="T11" s="7" t="n">
        <f aca="false">ROUND(3958.8*5280*ACOS(MIN(1,MAX(-1,SIN(RADIANS(Locations!$B11))*SIN(RADIANS(Locations!$B20))+COS(RADIANS(Locations!$B11))*COS(RADIANS(Locations!$B20))*COS(RADIANS(Locations!$C20-Locations!$C11))))),0)</f>
        <v>6617</v>
      </c>
    </row>
    <row r="12" customFormat="false" ht="15" hidden="false" customHeight="false" outlineLevel="0" collapsed="false">
      <c r="A12" s="6" t="str">
        <f aca="false">Locations!A12</f>
        <v>Middle Earth</v>
      </c>
      <c r="B12" s="7" t="n">
        <f aca="false">ROUND(3958.8*5280*ACOS(MIN(1,MAX(-1,SIN(RADIANS(Locations!$B12))*SIN(RADIANS(Locations!$B2))+COS(RADIANS(Locations!$B12))*COS(RADIANS(Locations!$B2))*COS(RADIANS(Locations!$C2-Locations!$C12))))),0)</f>
        <v>2577</v>
      </c>
      <c r="C12" s="7" t="n">
        <f aca="false">ROUND(3958.8*5280*ACOS(MIN(1,MAX(-1,SIN(RADIANS(Locations!$B12))*SIN(RADIANS(Locations!$B3))+COS(RADIANS(Locations!$B12))*COS(RADIANS(Locations!$B3))*COS(RADIANS(Locations!$C3-Locations!$C12))))),0)</f>
        <v>2752</v>
      </c>
      <c r="D12" s="7" t="n">
        <f aca="false">ROUND(3958.8*5280*ACOS(MIN(1,MAX(-1,SIN(RADIANS(Locations!$B12))*SIN(RADIANS(Locations!$B4))+COS(RADIANS(Locations!$B12))*COS(RADIANS(Locations!$B4))*COS(RADIANS(Locations!$C4-Locations!$C12))))),0)</f>
        <v>3147</v>
      </c>
      <c r="E12" s="7" t="n">
        <f aca="false">ROUND(3958.8*5280*ACOS(MIN(1,MAX(-1,SIN(RADIANS(Locations!$B12))*SIN(RADIANS(Locations!$B5))+COS(RADIANS(Locations!$B12))*COS(RADIANS(Locations!$B5))*COS(RADIANS(Locations!$C5-Locations!$C12))))),0)</f>
        <v>3033</v>
      </c>
      <c r="F12" s="7" t="n">
        <f aca="false">ROUND(3958.8*5280*ACOS(MIN(1,MAX(-1,SIN(RADIANS(Locations!$B12))*SIN(RADIANS(Locations!$B6))+COS(RADIANS(Locations!$B12))*COS(RADIANS(Locations!$B6))*COS(RADIANS(Locations!$C6-Locations!$C12))))),0)</f>
        <v>2384</v>
      </c>
      <c r="G12" s="7" t="n">
        <f aca="false">ROUND(3958.8*5280*ACOS(MIN(1,MAX(-1,SIN(RADIANS(Locations!$B12))*SIN(RADIANS(Locations!$B7))+COS(RADIANS(Locations!$B12))*COS(RADIANS(Locations!$B7))*COS(RADIANS(Locations!$C7-Locations!$C12))))),0)</f>
        <v>1657</v>
      </c>
      <c r="H12" s="7" t="n">
        <f aca="false">ROUND(3958.8*5280*ACOS(MIN(1,MAX(-1,SIN(RADIANS(Locations!$B12))*SIN(RADIANS(Locations!$B8))+COS(RADIANS(Locations!$B12))*COS(RADIANS(Locations!$B8))*COS(RADIANS(Locations!$C8-Locations!$C12))))),0)</f>
        <v>1486</v>
      </c>
      <c r="I12" s="7" t="n">
        <f aca="false">ROUND(3958.8*5280*ACOS(MIN(1,MAX(-1,SIN(RADIANS(Locations!$B12))*SIN(RADIANS(Locations!$B9))+COS(RADIANS(Locations!$B12))*COS(RADIANS(Locations!$B9))*COS(RADIANS(Locations!$C9-Locations!$C12))))),0)</f>
        <v>2118</v>
      </c>
      <c r="J12" s="7" t="n">
        <f aca="false">ROUND(3958.8*5280*ACOS(MIN(1,MAX(-1,SIN(RADIANS(Locations!$B12))*SIN(RADIANS(Locations!$B10))+COS(RADIANS(Locations!$B12))*COS(RADIANS(Locations!$B10))*COS(RADIANS(Locations!$C10-Locations!$C12))))),0)</f>
        <v>2293</v>
      </c>
      <c r="K12" s="7" t="n">
        <f aca="false">ROUND(3958.8*5280*ACOS(MIN(1,MAX(-1,SIN(RADIANS(Locations!$B12))*SIN(RADIANS(Locations!$B11))+COS(RADIANS(Locations!$B12))*COS(RADIANS(Locations!$B11))*COS(RADIANS(Locations!$C11-Locations!$C12))))),0)</f>
        <v>3467</v>
      </c>
      <c r="L12" s="7" t="n">
        <f aca="false">0</f>
        <v>0</v>
      </c>
      <c r="M12" s="7" t="n">
        <f aca="false">ROUND(3958.8*5280*ACOS(MIN(1,MAX(-1,SIN(RADIANS(Locations!$B12))*SIN(RADIANS(Locations!$B13))+COS(RADIANS(Locations!$B12))*COS(RADIANS(Locations!$B13))*COS(RADIANS(Locations!$C13-Locations!$C12))))),0)</f>
        <v>1666</v>
      </c>
      <c r="N12" s="7" t="n">
        <f aca="false">ROUND(3958.8*5280*ACOS(MIN(1,MAX(-1,SIN(RADIANS(Locations!$B12))*SIN(RADIANS(Locations!$B14))+COS(RADIANS(Locations!$B12))*COS(RADIANS(Locations!$B14))*COS(RADIANS(Locations!$C14-Locations!$C12))))),0)</f>
        <v>2110</v>
      </c>
      <c r="O12" s="7" t="n">
        <f aca="false">ROUND(3958.8*5280*ACOS(MIN(1,MAX(-1,SIN(RADIANS(Locations!$B12))*SIN(RADIANS(Locations!$B15))+COS(RADIANS(Locations!$B12))*COS(RADIANS(Locations!$B15))*COS(RADIANS(Locations!$C15-Locations!$C12))))),0)</f>
        <v>2581</v>
      </c>
      <c r="P12" s="7" t="n">
        <f aca="false">ROUND(3958.8*5280*ACOS(MIN(1,MAX(-1,SIN(RADIANS(Locations!$B12))*SIN(RADIANS(Locations!$B16))+COS(RADIANS(Locations!$B12))*COS(RADIANS(Locations!$B16))*COS(RADIANS(Locations!$C16-Locations!$C12))))),0)</f>
        <v>2719</v>
      </c>
      <c r="Q12" s="7" t="n">
        <f aca="false">ROUND(3958.8*5280*ACOS(MIN(1,MAX(-1,SIN(RADIANS(Locations!$B12))*SIN(RADIANS(Locations!$B17))+COS(RADIANS(Locations!$B12))*COS(RADIANS(Locations!$B17))*COS(RADIANS(Locations!$C17-Locations!$C12))))),0)</f>
        <v>2923</v>
      </c>
      <c r="R12" s="7" t="n">
        <f aca="false">ROUND(3958.8*5280*ACOS(MIN(1,MAX(-1,SIN(RADIANS(Locations!$B12))*SIN(RADIANS(Locations!$B18))+COS(RADIANS(Locations!$B12))*COS(RADIANS(Locations!$B18))*COS(RADIANS(Locations!$C18-Locations!$C12))))),0)</f>
        <v>4214</v>
      </c>
      <c r="S12" s="7" t="n">
        <f aca="false">ROUND(3958.8*5280*ACOS(MIN(1,MAX(-1,SIN(RADIANS(Locations!$B12))*SIN(RADIANS(Locations!$B19))+COS(RADIANS(Locations!$B12))*COS(RADIANS(Locations!$B19))*COS(RADIANS(Locations!$C19-Locations!$C12))))),0)</f>
        <v>4261</v>
      </c>
      <c r="T12" s="7" t="n">
        <f aca="false">ROUND(3958.8*5280*ACOS(MIN(1,MAX(-1,SIN(RADIANS(Locations!$B12))*SIN(RADIANS(Locations!$B20))+COS(RADIANS(Locations!$B12))*COS(RADIANS(Locations!$B20))*COS(RADIANS(Locations!$C20-Locations!$C12))))),0)</f>
        <v>3757</v>
      </c>
    </row>
    <row r="13" customFormat="false" ht="15" hidden="false" customHeight="false" outlineLevel="0" collapsed="false">
      <c r="A13" s="6" t="str">
        <f aca="false">Locations!A13</f>
        <v>Puerta del Sol</v>
      </c>
      <c r="B13" s="7" t="n">
        <f aca="false">ROUND(3958.8*5280*ACOS(MIN(1,MAX(-1,SIN(RADIANS(Locations!$B13))*SIN(RADIANS(Locations!$B2))+COS(RADIANS(Locations!$B13))*COS(RADIANS(Locations!$B2))*COS(RADIANS(Locations!$C2-Locations!$C13))))),0)</f>
        <v>2022</v>
      </c>
      <c r="C13" s="7" t="n">
        <f aca="false">ROUND(3958.8*5280*ACOS(MIN(1,MAX(-1,SIN(RADIANS(Locations!$B13))*SIN(RADIANS(Locations!$B3))+COS(RADIANS(Locations!$B13))*COS(RADIANS(Locations!$B3))*COS(RADIANS(Locations!$C3-Locations!$C13))))),0)</f>
        <v>1975</v>
      </c>
      <c r="D13" s="7" t="n">
        <f aca="false">ROUND(3958.8*5280*ACOS(MIN(1,MAX(-1,SIN(RADIANS(Locations!$B13))*SIN(RADIANS(Locations!$B4))+COS(RADIANS(Locations!$B13))*COS(RADIANS(Locations!$B4))*COS(RADIANS(Locations!$C4-Locations!$C13))))),0)</f>
        <v>2581</v>
      </c>
      <c r="E13" s="7" t="n">
        <f aca="false">ROUND(3958.8*5280*ACOS(MIN(1,MAX(-1,SIN(RADIANS(Locations!$B13))*SIN(RADIANS(Locations!$B5))+COS(RADIANS(Locations!$B13))*COS(RADIANS(Locations!$B5))*COS(RADIANS(Locations!$C5-Locations!$C13))))),0)</f>
        <v>1986</v>
      </c>
      <c r="F13" s="7" t="n">
        <f aca="false">ROUND(3958.8*5280*ACOS(MIN(1,MAX(-1,SIN(RADIANS(Locations!$B13))*SIN(RADIANS(Locations!$B6))+COS(RADIANS(Locations!$B13))*COS(RADIANS(Locations!$B6))*COS(RADIANS(Locations!$C6-Locations!$C13))))),0)</f>
        <v>1950</v>
      </c>
      <c r="G13" s="7" t="n">
        <f aca="false">ROUND(3958.8*5280*ACOS(MIN(1,MAX(-1,SIN(RADIANS(Locations!$B13))*SIN(RADIANS(Locations!$B7))+COS(RADIANS(Locations!$B13))*COS(RADIANS(Locations!$B7))*COS(RADIANS(Locations!$C7-Locations!$C13))))),0)</f>
        <v>1558</v>
      </c>
      <c r="H13" s="7" t="n">
        <f aca="false">ROUND(3958.8*5280*ACOS(MIN(1,MAX(-1,SIN(RADIANS(Locations!$B13))*SIN(RADIANS(Locations!$B8))+COS(RADIANS(Locations!$B13))*COS(RADIANS(Locations!$B8))*COS(RADIANS(Locations!$C8-Locations!$C13))))),0)</f>
        <v>1306</v>
      </c>
      <c r="I13" s="7" t="n">
        <f aca="false">ROUND(3958.8*5280*ACOS(MIN(1,MAX(-1,SIN(RADIANS(Locations!$B13))*SIN(RADIANS(Locations!$B9))+COS(RADIANS(Locations!$B13))*COS(RADIANS(Locations!$B9))*COS(RADIANS(Locations!$C9-Locations!$C13))))),0)</f>
        <v>996</v>
      </c>
      <c r="J13" s="7" t="n">
        <f aca="false">ROUND(3958.8*5280*ACOS(MIN(1,MAX(-1,SIN(RADIANS(Locations!$B13))*SIN(RADIANS(Locations!$B10))+COS(RADIANS(Locations!$B13))*COS(RADIANS(Locations!$B10))*COS(RADIANS(Locations!$C10-Locations!$C13))))),0)</f>
        <v>1381</v>
      </c>
      <c r="K13" s="7" t="n">
        <f aca="false">ROUND(3958.8*5280*ACOS(MIN(1,MAX(-1,SIN(RADIANS(Locations!$B13))*SIN(RADIANS(Locations!$B11))+COS(RADIANS(Locations!$B13))*COS(RADIANS(Locations!$B11))*COS(RADIANS(Locations!$C11-Locations!$C13))))),0)</f>
        <v>3859</v>
      </c>
      <c r="L13" s="7" t="n">
        <f aca="false">ROUND(3958.8*5280*ACOS(MIN(1,MAX(-1,SIN(RADIANS(Locations!$B13))*SIN(RADIANS(Locations!$B12))+COS(RADIANS(Locations!$B13))*COS(RADIANS(Locations!$B12))*COS(RADIANS(Locations!$C12-Locations!$C13))))),0)</f>
        <v>1666</v>
      </c>
      <c r="M13" s="7" t="n">
        <f aca="false">0</f>
        <v>0</v>
      </c>
      <c r="N13" s="7" t="n">
        <f aca="false">ROUND(3958.8*5280*ACOS(MIN(1,MAX(-1,SIN(RADIANS(Locations!$B13))*SIN(RADIANS(Locations!$B14))+COS(RADIANS(Locations!$B13))*COS(RADIANS(Locations!$B14))*COS(RADIANS(Locations!$C14-Locations!$C13))))),0)</f>
        <v>1526</v>
      </c>
      <c r="O13" s="7" t="n">
        <f aca="false">ROUND(3958.8*5280*ACOS(MIN(1,MAX(-1,SIN(RADIANS(Locations!$B13))*SIN(RADIANS(Locations!$B15))+COS(RADIANS(Locations!$B13))*COS(RADIANS(Locations!$B15))*COS(RADIANS(Locations!$C15-Locations!$C13))))),0)</f>
        <v>1273</v>
      </c>
      <c r="P13" s="7" t="n">
        <f aca="false">ROUND(3958.8*5280*ACOS(MIN(1,MAX(-1,SIN(RADIANS(Locations!$B13))*SIN(RADIANS(Locations!$B16))+COS(RADIANS(Locations!$B13))*COS(RADIANS(Locations!$B16))*COS(RADIANS(Locations!$C16-Locations!$C13))))),0)</f>
        <v>1230</v>
      </c>
      <c r="Q13" s="7" t="n">
        <f aca="false">ROUND(3958.8*5280*ACOS(MIN(1,MAX(-1,SIN(RADIANS(Locations!$B13))*SIN(RADIANS(Locations!$B17))+COS(RADIANS(Locations!$B13))*COS(RADIANS(Locations!$B17))*COS(RADIANS(Locations!$C17-Locations!$C13))))),0)</f>
        <v>1507</v>
      </c>
      <c r="R13" s="7" t="n">
        <f aca="false">ROUND(3958.8*5280*ACOS(MIN(1,MAX(-1,SIN(RADIANS(Locations!$B13))*SIN(RADIANS(Locations!$B18))+COS(RADIANS(Locations!$B13))*COS(RADIANS(Locations!$B18))*COS(RADIANS(Locations!$C18-Locations!$C13))))),0)</f>
        <v>2942</v>
      </c>
      <c r="S13" s="7" t="n">
        <f aca="false">ROUND(3958.8*5280*ACOS(MIN(1,MAX(-1,SIN(RADIANS(Locations!$B13))*SIN(RADIANS(Locations!$B19))+COS(RADIANS(Locations!$B13))*COS(RADIANS(Locations!$B19))*COS(RADIANS(Locations!$C19-Locations!$C13))))),0)</f>
        <v>3238</v>
      </c>
      <c r="T13" s="7" t="n">
        <f aca="false">ROUND(3958.8*5280*ACOS(MIN(1,MAX(-1,SIN(RADIANS(Locations!$B13))*SIN(RADIANS(Locations!$B20))+COS(RADIANS(Locations!$B13))*COS(RADIANS(Locations!$B20))*COS(RADIANS(Locations!$C20-Locations!$C13))))),0)</f>
        <v>2759</v>
      </c>
    </row>
    <row r="14" customFormat="false" ht="15" hidden="false" customHeight="false" outlineLevel="0" collapsed="false">
      <c r="A14" s="6" t="str">
        <f aca="false">Locations!A14</f>
        <v>Verano</v>
      </c>
      <c r="B14" s="7" t="n">
        <f aca="false">ROUND(3958.8*5280*ACOS(MIN(1,MAX(-1,SIN(RADIANS(Locations!$B14))*SIN(RADIANS(Locations!$B2))+COS(RADIANS(Locations!$B14))*COS(RADIANS(Locations!$B2))*COS(RADIANS(Locations!$C2-Locations!$C14))))),0)</f>
        <v>3537</v>
      </c>
      <c r="C14" s="7" t="n">
        <f aca="false">ROUND(3958.8*5280*ACOS(MIN(1,MAX(-1,SIN(RADIANS(Locations!$B14))*SIN(RADIANS(Locations!$B3))+COS(RADIANS(Locations!$B14))*COS(RADIANS(Locations!$B3))*COS(RADIANS(Locations!$C3-Locations!$C14))))),0)</f>
        <v>3501</v>
      </c>
      <c r="D14" s="7" t="n">
        <f aca="false">ROUND(3958.8*5280*ACOS(MIN(1,MAX(-1,SIN(RADIANS(Locations!$B14))*SIN(RADIANS(Locations!$B4))+COS(RADIANS(Locations!$B14))*COS(RADIANS(Locations!$B4))*COS(RADIANS(Locations!$C4-Locations!$C14))))),0)</f>
        <v>4104</v>
      </c>
      <c r="E14" s="7" t="n">
        <f aca="false">ROUND(3958.8*5280*ACOS(MIN(1,MAX(-1,SIN(RADIANS(Locations!$B14))*SIN(RADIANS(Locations!$B5))+COS(RADIANS(Locations!$B14))*COS(RADIANS(Locations!$B5))*COS(RADIANS(Locations!$C5-Locations!$C14))))),0)</f>
        <v>3484</v>
      </c>
      <c r="F14" s="7" t="n">
        <f aca="false">ROUND(3958.8*5280*ACOS(MIN(1,MAX(-1,SIN(RADIANS(Locations!$B14))*SIN(RADIANS(Locations!$B6))+COS(RADIANS(Locations!$B14))*COS(RADIANS(Locations!$B6))*COS(RADIANS(Locations!$C6-Locations!$C14))))),0)</f>
        <v>3446</v>
      </c>
      <c r="G14" s="7" t="n">
        <f aca="false">ROUND(3958.8*5280*ACOS(MIN(1,MAX(-1,SIN(RADIANS(Locations!$B14))*SIN(RADIANS(Locations!$B7))+COS(RADIANS(Locations!$B14))*COS(RADIANS(Locations!$B7))*COS(RADIANS(Locations!$C7-Locations!$C14))))),0)</f>
        <v>2936</v>
      </c>
      <c r="H14" s="7" t="n">
        <f aca="false">ROUND(3958.8*5280*ACOS(MIN(1,MAX(-1,SIN(RADIANS(Locations!$B14))*SIN(RADIANS(Locations!$B8))+COS(RADIANS(Locations!$B14))*COS(RADIANS(Locations!$B8))*COS(RADIANS(Locations!$C8-Locations!$C14))))),0)</f>
        <v>2672</v>
      </c>
      <c r="I14" s="7" t="n">
        <f aca="false">ROUND(3958.8*5280*ACOS(MIN(1,MAX(-1,SIN(RADIANS(Locations!$B14))*SIN(RADIANS(Locations!$B9))+COS(RADIANS(Locations!$B14))*COS(RADIANS(Locations!$B9))*COS(RADIANS(Locations!$C9-Locations!$C14))))),0)</f>
        <v>2520</v>
      </c>
      <c r="J14" s="7" t="n">
        <f aca="false">ROUND(3958.8*5280*ACOS(MIN(1,MAX(-1,SIN(RADIANS(Locations!$B14))*SIN(RADIANS(Locations!$B10))+COS(RADIANS(Locations!$B14))*COS(RADIANS(Locations!$B10))*COS(RADIANS(Locations!$C10-Locations!$C14))))),0)</f>
        <v>2907</v>
      </c>
      <c r="K14" s="7" t="n">
        <f aca="false">ROUND(3958.8*5280*ACOS(MIN(1,MAX(-1,SIN(RADIANS(Locations!$B14))*SIN(RADIANS(Locations!$B11))+COS(RADIANS(Locations!$B14))*COS(RADIANS(Locations!$B11))*COS(RADIANS(Locations!$C11-Locations!$C14))))),0)</f>
        <v>5202</v>
      </c>
      <c r="L14" s="7" t="n">
        <f aca="false">ROUND(3958.8*5280*ACOS(MIN(1,MAX(-1,SIN(RADIANS(Locations!$B14))*SIN(RADIANS(Locations!$B12))+COS(RADIANS(Locations!$B14))*COS(RADIANS(Locations!$B12))*COS(RADIANS(Locations!$C12-Locations!$C14))))),0)</f>
        <v>2110</v>
      </c>
      <c r="M14" s="7" t="n">
        <f aca="false">ROUND(3958.8*5280*ACOS(MIN(1,MAX(-1,SIN(RADIANS(Locations!$B14))*SIN(RADIANS(Locations!$B13))+COS(RADIANS(Locations!$B14))*COS(RADIANS(Locations!$B13))*COS(RADIANS(Locations!$C13-Locations!$C14))))),0)</f>
        <v>1526</v>
      </c>
      <c r="N14" s="7" t="n">
        <f aca="false">0</f>
        <v>0</v>
      </c>
      <c r="O14" s="7" t="n">
        <f aca="false">ROUND(3958.8*5280*ACOS(MIN(1,MAX(-1,SIN(RADIANS(Locations!$B14))*SIN(RADIANS(Locations!$B15))+COS(RADIANS(Locations!$B14))*COS(RADIANS(Locations!$B15))*COS(RADIANS(Locations!$C15-Locations!$C14))))),0)</f>
        <v>979</v>
      </c>
      <c r="P14" s="7" t="n">
        <f aca="false">ROUND(3958.8*5280*ACOS(MIN(1,MAX(-1,SIN(RADIANS(Locations!$B14))*SIN(RADIANS(Locations!$B16))+COS(RADIANS(Locations!$B14))*COS(RADIANS(Locations!$B16))*COS(RADIANS(Locations!$C16-Locations!$C14))))),0)</f>
        <v>1333</v>
      </c>
      <c r="Q14" s="7" t="n">
        <f aca="false">ROUND(3958.8*5280*ACOS(MIN(1,MAX(-1,SIN(RADIANS(Locations!$B14))*SIN(RADIANS(Locations!$B17))+COS(RADIANS(Locations!$B14))*COS(RADIANS(Locations!$B17))*COS(RADIANS(Locations!$C17-Locations!$C14))))),0)</f>
        <v>1319</v>
      </c>
      <c r="R14" s="7" t="n">
        <f aca="false">ROUND(3958.8*5280*ACOS(MIN(1,MAX(-1,SIN(RADIANS(Locations!$B14))*SIN(RADIANS(Locations!$B18))+COS(RADIANS(Locations!$B14))*COS(RADIANS(Locations!$B18))*COS(RADIANS(Locations!$C18-Locations!$C14))))),0)</f>
        <v>2220</v>
      </c>
      <c r="S14" s="7" t="n">
        <f aca="false">ROUND(3958.8*5280*ACOS(MIN(1,MAX(-1,SIN(RADIANS(Locations!$B14))*SIN(RADIANS(Locations!$B19))+COS(RADIANS(Locations!$B14))*COS(RADIANS(Locations!$B19))*COS(RADIANS(Locations!$C19-Locations!$C14))))),0)</f>
        <v>2158</v>
      </c>
      <c r="T14" s="7" t="n">
        <f aca="false">ROUND(3958.8*5280*ACOS(MIN(1,MAX(-1,SIN(RADIANS(Locations!$B14))*SIN(RADIANS(Locations!$B20))+COS(RADIANS(Locations!$B14))*COS(RADIANS(Locations!$B20))*COS(RADIANS(Locations!$C20-Locations!$C14))))),0)</f>
        <v>1656</v>
      </c>
    </row>
    <row r="15" customFormat="false" ht="15" hidden="false" customHeight="false" outlineLevel="0" collapsed="false">
      <c r="A15" s="6" t="str">
        <f aca="false">Locations!A15</f>
        <v>Arroyo Vista</v>
      </c>
      <c r="B15" s="7" t="n">
        <f aca="false">ROUND(3958.8*5280*ACOS(MIN(1,MAX(-1,SIN(RADIANS(Locations!$B15))*SIN(RADIANS(Locations!$B2))+COS(RADIANS(Locations!$B15))*COS(RADIANS(Locations!$B2))*COS(RADIANS(Locations!$C2-Locations!$C15))))),0)</f>
        <v>3186</v>
      </c>
      <c r="C15" s="7" t="n">
        <f aca="false">ROUND(3958.8*5280*ACOS(MIN(1,MAX(-1,SIN(RADIANS(Locations!$B15))*SIN(RADIANS(Locations!$B3))+COS(RADIANS(Locations!$B15))*COS(RADIANS(Locations!$B3))*COS(RADIANS(Locations!$C3-Locations!$C15))))),0)</f>
        <v>3060</v>
      </c>
      <c r="D15" s="7" t="n">
        <f aca="false">ROUND(3958.8*5280*ACOS(MIN(1,MAX(-1,SIN(RADIANS(Locations!$B15))*SIN(RADIANS(Locations!$B4))+COS(RADIANS(Locations!$B15))*COS(RADIANS(Locations!$B4))*COS(RADIANS(Locations!$C4-Locations!$C15))))),0)</f>
        <v>3692</v>
      </c>
      <c r="E15" s="7" t="n">
        <f aca="false">ROUND(3958.8*5280*ACOS(MIN(1,MAX(-1,SIN(RADIANS(Locations!$B15))*SIN(RADIANS(Locations!$B5))+COS(RADIANS(Locations!$B15))*COS(RADIANS(Locations!$B5))*COS(RADIANS(Locations!$C5-Locations!$C15))))),0)</f>
        <v>2917</v>
      </c>
      <c r="F15" s="7" t="n">
        <f aca="false">ROUND(3958.8*5280*ACOS(MIN(1,MAX(-1,SIN(RADIANS(Locations!$B15))*SIN(RADIANS(Locations!$B6))+COS(RADIANS(Locations!$B15))*COS(RADIANS(Locations!$B6))*COS(RADIANS(Locations!$C6-Locations!$C15))))),0)</f>
        <v>3153</v>
      </c>
      <c r="G15" s="7" t="n">
        <f aca="false">ROUND(3958.8*5280*ACOS(MIN(1,MAX(-1,SIN(RADIANS(Locations!$B15))*SIN(RADIANS(Locations!$B7))+COS(RADIANS(Locations!$B15))*COS(RADIANS(Locations!$B7))*COS(RADIANS(Locations!$C7-Locations!$C15))))),0)</f>
        <v>2829</v>
      </c>
      <c r="H15" s="7" t="n">
        <f aca="false">ROUND(3958.8*5280*ACOS(MIN(1,MAX(-1,SIN(RADIANS(Locations!$B15))*SIN(RADIANS(Locations!$B8))+COS(RADIANS(Locations!$B15))*COS(RADIANS(Locations!$B8))*COS(RADIANS(Locations!$C8-Locations!$C15))))),0)</f>
        <v>2578</v>
      </c>
      <c r="I15" s="7" t="n">
        <f aca="false">ROUND(3958.8*5280*ACOS(MIN(1,MAX(-1,SIN(RADIANS(Locations!$B15))*SIN(RADIANS(Locations!$B9))+COS(RADIANS(Locations!$B15))*COS(RADIANS(Locations!$B9))*COS(RADIANS(Locations!$C9-Locations!$C15))))),0)</f>
        <v>2100</v>
      </c>
      <c r="J15" s="7" t="n">
        <f aca="false">ROUND(3958.8*5280*ACOS(MIN(1,MAX(-1,SIN(RADIANS(Locations!$B15))*SIN(RADIANS(Locations!$B10))+COS(RADIANS(Locations!$B15))*COS(RADIANS(Locations!$B10))*COS(RADIANS(Locations!$C10-Locations!$C15))))),0)</f>
        <v>2498</v>
      </c>
      <c r="K15" s="7" t="n">
        <f aca="false">ROUND(3958.8*5280*ACOS(MIN(1,MAX(-1,SIN(RADIANS(Locations!$B15))*SIN(RADIANS(Locations!$B11))+COS(RADIANS(Locations!$B15))*COS(RADIANS(Locations!$B11))*COS(RADIANS(Locations!$C11-Locations!$C15))))),0)</f>
        <v>5126</v>
      </c>
      <c r="L15" s="7" t="n">
        <f aca="false">ROUND(3958.8*5280*ACOS(MIN(1,MAX(-1,SIN(RADIANS(Locations!$B15))*SIN(RADIANS(Locations!$B12))+COS(RADIANS(Locations!$B15))*COS(RADIANS(Locations!$B12))*COS(RADIANS(Locations!$C12-Locations!$C15))))),0)</f>
        <v>2581</v>
      </c>
      <c r="M15" s="7" t="n">
        <f aca="false">ROUND(3958.8*5280*ACOS(MIN(1,MAX(-1,SIN(RADIANS(Locations!$B15))*SIN(RADIANS(Locations!$B13))+COS(RADIANS(Locations!$B15))*COS(RADIANS(Locations!$B13))*COS(RADIANS(Locations!$C13-Locations!$C15))))),0)</f>
        <v>1273</v>
      </c>
      <c r="N15" s="7" t="n">
        <f aca="false">ROUND(3958.8*5280*ACOS(MIN(1,MAX(-1,SIN(RADIANS(Locations!$B15))*SIN(RADIANS(Locations!$B14))+COS(RADIANS(Locations!$B15))*COS(RADIANS(Locations!$B14))*COS(RADIANS(Locations!$C14-Locations!$C15))))),0)</f>
        <v>979</v>
      </c>
      <c r="O15" s="7" t="n">
        <f aca="false">0</f>
        <v>0</v>
      </c>
      <c r="P15" s="7" t="n">
        <f aca="false">ROUND(3958.8*5280*ACOS(MIN(1,MAX(-1,SIN(RADIANS(Locations!$B15))*SIN(RADIANS(Locations!$B16))+COS(RADIANS(Locations!$B15))*COS(RADIANS(Locations!$B16))*COS(RADIANS(Locations!$C16-Locations!$C15))))),0)</f>
        <v>371</v>
      </c>
      <c r="Q15" s="7" t="n">
        <f aca="false">ROUND(3958.8*5280*ACOS(MIN(1,MAX(-1,SIN(RADIANS(Locations!$B15))*SIN(RADIANS(Locations!$B17))+COS(RADIANS(Locations!$B15))*COS(RADIANS(Locations!$B17))*COS(RADIANS(Locations!$C17-Locations!$C15))))),0)</f>
        <v>370</v>
      </c>
      <c r="R15" s="7" t="n">
        <f aca="false">ROUND(3958.8*5280*ACOS(MIN(1,MAX(-1,SIN(RADIANS(Locations!$B15))*SIN(RADIANS(Locations!$B18))+COS(RADIANS(Locations!$B15))*COS(RADIANS(Locations!$B18))*COS(RADIANS(Locations!$C18-Locations!$C15))))),0)</f>
        <v>1690</v>
      </c>
      <c r="S15" s="7" t="n">
        <f aca="false">ROUND(3958.8*5280*ACOS(MIN(1,MAX(-1,SIN(RADIANS(Locations!$B15))*SIN(RADIANS(Locations!$B19))+COS(RADIANS(Locations!$B15))*COS(RADIANS(Locations!$B19))*COS(RADIANS(Locations!$C19-Locations!$C15))))),0)</f>
        <v>1974</v>
      </c>
      <c r="T15" s="7" t="n">
        <f aca="false">ROUND(3958.8*5280*ACOS(MIN(1,MAX(-1,SIN(RADIANS(Locations!$B15))*SIN(RADIANS(Locations!$B20))+COS(RADIANS(Locations!$B15))*COS(RADIANS(Locations!$B20))*COS(RADIANS(Locations!$C20-Locations!$C15))))),0)</f>
        <v>1512</v>
      </c>
    </row>
    <row r="16" customFormat="false" ht="15" hidden="false" customHeight="false" outlineLevel="0" collapsed="false">
      <c r="A16" s="6" t="str">
        <f aca="false">Locations!A16</f>
        <v>Plaza Verde 1</v>
      </c>
      <c r="B16" s="7" t="n">
        <f aca="false">ROUND(3958.8*5280*ACOS(MIN(1,MAX(-1,SIN(RADIANS(Locations!$B16))*SIN(RADIANS(Locations!$B2))+COS(RADIANS(Locations!$B16))*COS(RADIANS(Locations!$B2))*COS(RADIANS(Locations!$C2-Locations!$C16))))),0)</f>
        <v>2996</v>
      </c>
      <c r="C16" s="7" t="n">
        <f aca="false">ROUND(3958.8*5280*ACOS(MIN(1,MAX(-1,SIN(RADIANS(Locations!$B16))*SIN(RADIANS(Locations!$B3))+COS(RADIANS(Locations!$B16))*COS(RADIANS(Locations!$B3))*COS(RADIANS(Locations!$C3-Locations!$C16))))),0)</f>
        <v>2838</v>
      </c>
      <c r="D16" s="7" t="n">
        <f aca="false">ROUND(3958.8*5280*ACOS(MIN(1,MAX(-1,SIN(RADIANS(Locations!$B16))*SIN(RADIANS(Locations!$B4))+COS(RADIANS(Locations!$B16))*COS(RADIANS(Locations!$B4))*COS(RADIANS(Locations!$C4-Locations!$C16))))),0)</f>
        <v>3471</v>
      </c>
      <c r="E16" s="7" t="n">
        <f aca="false">ROUND(3958.8*5280*ACOS(MIN(1,MAX(-1,SIN(RADIANS(Locations!$B16))*SIN(RADIANS(Locations!$B5))+COS(RADIANS(Locations!$B16))*COS(RADIANS(Locations!$B5))*COS(RADIANS(Locations!$C5-Locations!$C16))))),0)</f>
        <v>2651</v>
      </c>
      <c r="F16" s="7" t="n">
        <f aca="false">ROUND(3958.8*5280*ACOS(MIN(1,MAX(-1,SIN(RADIANS(Locations!$B16))*SIN(RADIANS(Locations!$B6))+COS(RADIANS(Locations!$B16))*COS(RADIANS(Locations!$B6))*COS(RADIANS(Locations!$C6-Locations!$C16))))),0)</f>
        <v>2986</v>
      </c>
      <c r="G16" s="7" t="n">
        <f aca="false">ROUND(3958.8*5280*ACOS(MIN(1,MAX(-1,SIN(RADIANS(Locations!$B16))*SIN(RADIANS(Locations!$B7))+COS(RADIANS(Locations!$B16))*COS(RADIANS(Locations!$B7))*COS(RADIANS(Locations!$C7-Locations!$C16))))),0)</f>
        <v>2742</v>
      </c>
      <c r="H16" s="7" t="n">
        <f aca="false">ROUND(3958.8*5280*ACOS(MIN(1,MAX(-1,SIN(RADIANS(Locations!$B16))*SIN(RADIANS(Locations!$B8))+COS(RADIANS(Locations!$B16))*COS(RADIANS(Locations!$B8))*COS(RADIANS(Locations!$C8-Locations!$C16))))),0)</f>
        <v>2505</v>
      </c>
      <c r="I16" s="7" t="n">
        <f aca="false">ROUND(3958.8*5280*ACOS(MIN(1,MAX(-1,SIN(RADIANS(Locations!$B16))*SIN(RADIANS(Locations!$B9))+COS(RADIANS(Locations!$B16))*COS(RADIANS(Locations!$B9))*COS(RADIANS(Locations!$C9-Locations!$C16))))),0)</f>
        <v>1914</v>
      </c>
      <c r="J16" s="7" t="n">
        <f aca="false">ROUND(3958.8*5280*ACOS(MIN(1,MAX(-1,SIN(RADIANS(Locations!$B16))*SIN(RADIANS(Locations!$B10))+COS(RADIANS(Locations!$B16))*COS(RADIANS(Locations!$B10))*COS(RADIANS(Locations!$C10-Locations!$C16))))),0)</f>
        <v>2302</v>
      </c>
      <c r="K16" s="7" t="n">
        <f aca="false">ROUND(3958.8*5280*ACOS(MIN(1,MAX(-1,SIN(RADIANS(Locations!$B16))*SIN(RADIANS(Locations!$B11))+COS(RADIANS(Locations!$B16))*COS(RADIANS(Locations!$B11))*COS(RADIANS(Locations!$C11-Locations!$C16))))),0)</f>
        <v>5014</v>
      </c>
      <c r="L16" s="7" t="n">
        <f aca="false">ROUND(3958.8*5280*ACOS(MIN(1,MAX(-1,SIN(RADIANS(Locations!$B16))*SIN(RADIANS(Locations!$B12))+COS(RADIANS(Locations!$B16))*COS(RADIANS(Locations!$B12))*COS(RADIANS(Locations!$C12-Locations!$C16))))),0)</f>
        <v>2719</v>
      </c>
      <c r="M16" s="7" t="n">
        <f aca="false">ROUND(3958.8*5280*ACOS(MIN(1,MAX(-1,SIN(RADIANS(Locations!$B16))*SIN(RADIANS(Locations!$B13))+COS(RADIANS(Locations!$B16))*COS(RADIANS(Locations!$B13))*COS(RADIANS(Locations!$C13-Locations!$C16))))),0)</f>
        <v>1230</v>
      </c>
      <c r="N16" s="7" t="n">
        <f aca="false">ROUND(3958.8*5280*ACOS(MIN(1,MAX(-1,SIN(RADIANS(Locations!$B16))*SIN(RADIANS(Locations!$B14))+COS(RADIANS(Locations!$B16))*COS(RADIANS(Locations!$B14))*COS(RADIANS(Locations!$C14-Locations!$C16))))),0)</f>
        <v>1333</v>
      </c>
      <c r="O16" s="7" t="n">
        <f aca="false">ROUND(3958.8*5280*ACOS(MIN(1,MAX(-1,SIN(RADIANS(Locations!$B16))*SIN(RADIANS(Locations!$B15))+COS(RADIANS(Locations!$B16))*COS(RADIANS(Locations!$B15))*COS(RADIANS(Locations!$C15-Locations!$C16))))),0)</f>
        <v>371</v>
      </c>
      <c r="P16" s="7" t="n">
        <f aca="false">0</f>
        <v>0</v>
      </c>
      <c r="Q16" s="7" t="n">
        <f aca="false">ROUND(3958.8*5280*ACOS(MIN(1,MAX(-1,SIN(RADIANS(Locations!$B16))*SIN(RADIANS(Locations!$B17))+COS(RADIANS(Locations!$B16))*COS(RADIANS(Locations!$B17))*COS(RADIANS(Locations!$C17-Locations!$C16))))),0)</f>
        <v>302</v>
      </c>
      <c r="R16" s="7" t="n">
        <f aca="false">ROUND(3958.8*5280*ACOS(MIN(1,MAX(-1,SIN(RADIANS(Locations!$B16))*SIN(RADIANS(Locations!$B18))+COS(RADIANS(Locations!$B16))*COS(RADIANS(Locations!$B18))*COS(RADIANS(Locations!$C18-Locations!$C16))))),0)</f>
        <v>1738</v>
      </c>
      <c r="S16" s="7" t="n">
        <f aca="false">ROUND(3958.8*5280*ACOS(MIN(1,MAX(-1,SIN(RADIANS(Locations!$B16))*SIN(RADIANS(Locations!$B19))+COS(RADIANS(Locations!$B16))*COS(RADIANS(Locations!$B19))*COS(RADIANS(Locations!$C19-Locations!$C16))))),0)</f>
        <v>2150</v>
      </c>
      <c r="T16" s="7" t="n">
        <f aca="false">ROUND(3958.8*5280*ACOS(MIN(1,MAX(-1,SIN(RADIANS(Locations!$B16))*SIN(RADIANS(Locations!$B20))+COS(RADIANS(Locations!$B16))*COS(RADIANS(Locations!$B20))*COS(RADIANS(Locations!$C20-Locations!$C16))))),0)</f>
        <v>1730</v>
      </c>
    </row>
    <row r="17" customFormat="false" ht="15" hidden="false" customHeight="false" outlineLevel="0" collapsed="false">
      <c r="A17" s="6" t="str">
        <f aca="false">Locations!A17</f>
        <v>Plaza Verde 2</v>
      </c>
      <c r="B17" s="7" t="n">
        <f aca="false">ROUND(3958.8*5280*ACOS(MIN(1,MAX(-1,SIN(RADIANS(Locations!$B17))*SIN(RADIANS(Locations!$B2))+COS(RADIANS(Locations!$B17))*COS(RADIANS(Locations!$B2))*COS(RADIANS(Locations!$C2-Locations!$C17))))),0)</f>
        <v>3297</v>
      </c>
      <c r="C17" s="7" t="n">
        <f aca="false">ROUND(3958.8*5280*ACOS(MIN(1,MAX(-1,SIN(RADIANS(Locations!$B17))*SIN(RADIANS(Locations!$B3))+COS(RADIANS(Locations!$B17))*COS(RADIANS(Locations!$B3))*COS(RADIANS(Locations!$C3-Locations!$C17))))),0)</f>
        <v>3136</v>
      </c>
      <c r="D17" s="7" t="n">
        <f aca="false">ROUND(3958.8*5280*ACOS(MIN(1,MAX(-1,SIN(RADIANS(Locations!$B17))*SIN(RADIANS(Locations!$B4))+COS(RADIANS(Locations!$B17))*COS(RADIANS(Locations!$B4))*COS(RADIANS(Locations!$C4-Locations!$C17))))),0)</f>
        <v>3769</v>
      </c>
      <c r="E17" s="7" t="n">
        <f aca="false">ROUND(3958.8*5280*ACOS(MIN(1,MAX(-1,SIN(RADIANS(Locations!$B17))*SIN(RADIANS(Locations!$B5))+COS(RADIANS(Locations!$B17))*COS(RADIANS(Locations!$B5))*COS(RADIANS(Locations!$C5-Locations!$C17))))),0)</f>
        <v>2938</v>
      </c>
      <c r="F17" s="7" t="n">
        <f aca="false">ROUND(3958.8*5280*ACOS(MIN(1,MAX(-1,SIN(RADIANS(Locations!$B17))*SIN(RADIANS(Locations!$B6))+COS(RADIANS(Locations!$B17))*COS(RADIANS(Locations!$B6))*COS(RADIANS(Locations!$C6-Locations!$C17))))),0)</f>
        <v>3287</v>
      </c>
      <c r="G17" s="7" t="n">
        <f aca="false">ROUND(3958.8*5280*ACOS(MIN(1,MAX(-1,SIN(RADIANS(Locations!$B17))*SIN(RADIANS(Locations!$B7))+COS(RADIANS(Locations!$B17))*COS(RADIANS(Locations!$B7))*COS(RADIANS(Locations!$C7-Locations!$C17))))),0)</f>
        <v>3035</v>
      </c>
      <c r="H17" s="7" t="n">
        <f aca="false">ROUND(3958.8*5280*ACOS(MIN(1,MAX(-1,SIN(RADIANS(Locations!$B17))*SIN(RADIANS(Locations!$B8))+COS(RADIANS(Locations!$B17))*COS(RADIANS(Locations!$B8))*COS(RADIANS(Locations!$C8-Locations!$C17))))),0)</f>
        <v>2795</v>
      </c>
      <c r="I17" s="7" t="n">
        <f aca="false">ROUND(3958.8*5280*ACOS(MIN(1,MAX(-1,SIN(RADIANS(Locations!$B17))*SIN(RADIANS(Locations!$B9))+COS(RADIANS(Locations!$B17))*COS(RADIANS(Locations!$B9))*COS(RADIANS(Locations!$C9-Locations!$C17))))),0)</f>
        <v>2216</v>
      </c>
      <c r="J17" s="7" t="n">
        <f aca="false">ROUND(3958.8*5280*ACOS(MIN(1,MAX(-1,SIN(RADIANS(Locations!$B17))*SIN(RADIANS(Locations!$B10))+COS(RADIANS(Locations!$B17))*COS(RADIANS(Locations!$B10))*COS(RADIANS(Locations!$C10-Locations!$C17))))),0)</f>
        <v>2603</v>
      </c>
      <c r="K17" s="7" t="n">
        <f aca="false">ROUND(3958.8*5280*ACOS(MIN(1,MAX(-1,SIN(RADIANS(Locations!$B17))*SIN(RADIANS(Locations!$B11))+COS(RADIANS(Locations!$B17))*COS(RADIANS(Locations!$B11))*COS(RADIANS(Locations!$C11-Locations!$C17))))),0)</f>
        <v>5312</v>
      </c>
      <c r="L17" s="7" t="n">
        <f aca="false">ROUND(3958.8*5280*ACOS(MIN(1,MAX(-1,SIN(RADIANS(Locations!$B17))*SIN(RADIANS(Locations!$B12))+COS(RADIANS(Locations!$B17))*COS(RADIANS(Locations!$B12))*COS(RADIANS(Locations!$C12-Locations!$C17))))),0)</f>
        <v>2923</v>
      </c>
      <c r="M17" s="7" t="n">
        <f aca="false">ROUND(3958.8*5280*ACOS(MIN(1,MAX(-1,SIN(RADIANS(Locations!$B17))*SIN(RADIANS(Locations!$B13))+COS(RADIANS(Locations!$B17))*COS(RADIANS(Locations!$B13))*COS(RADIANS(Locations!$C13-Locations!$C17))))),0)</f>
        <v>1507</v>
      </c>
      <c r="N17" s="7" t="n">
        <f aca="false">ROUND(3958.8*5280*ACOS(MIN(1,MAX(-1,SIN(RADIANS(Locations!$B17))*SIN(RADIANS(Locations!$B14))+COS(RADIANS(Locations!$B17))*COS(RADIANS(Locations!$B14))*COS(RADIANS(Locations!$C14-Locations!$C17))))),0)</f>
        <v>1319</v>
      </c>
      <c r="O17" s="7" t="n">
        <f aca="false">ROUND(3958.8*5280*ACOS(MIN(1,MAX(-1,SIN(RADIANS(Locations!$B17))*SIN(RADIANS(Locations!$B15))+COS(RADIANS(Locations!$B17))*COS(RADIANS(Locations!$B15))*COS(RADIANS(Locations!$C15-Locations!$C17))))),0)</f>
        <v>370</v>
      </c>
      <c r="P17" s="7" t="n">
        <f aca="false">ROUND(3958.8*5280*ACOS(MIN(1,MAX(-1,SIN(RADIANS(Locations!$B17))*SIN(RADIANS(Locations!$B16))+COS(RADIANS(Locations!$B17))*COS(RADIANS(Locations!$B16))*COS(RADIANS(Locations!$C16-Locations!$C17))))),0)</f>
        <v>302</v>
      </c>
      <c r="Q17" s="7" t="n">
        <f aca="false">0</f>
        <v>0</v>
      </c>
      <c r="R17" s="7" t="n">
        <f aca="false">ROUND(3958.8*5280*ACOS(MIN(1,MAX(-1,SIN(RADIANS(Locations!$B17))*SIN(RADIANS(Locations!$B18))+COS(RADIANS(Locations!$B17))*COS(RADIANS(Locations!$B18))*COS(RADIANS(Locations!$C18-Locations!$C17))))),0)</f>
        <v>1442</v>
      </c>
      <c r="S17" s="7" t="n">
        <f aca="false">ROUND(3958.8*5280*ACOS(MIN(1,MAX(-1,SIN(RADIANS(Locations!$B17))*SIN(RADIANS(Locations!$B19))+COS(RADIANS(Locations!$B17))*COS(RADIANS(Locations!$B19))*COS(RADIANS(Locations!$C19-Locations!$C17))))),0)</f>
        <v>1852</v>
      </c>
      <c r="T17" s="7" t="n">
        <f aca="false">ROUND(3958.8*5280*ACOS(MIN(1,MAX(-1,SIN(RADIANS(Locations!$B17))*SIN(RADIANS(Locations!$B20))+COS(RADIANS(Locations!$B17))*COS(RADIANS(Locations!$B20))*COS(RADIANS(Locations!$C20-Locations!$C17))))),0)</f>
        <v>1444</v>
      </c>
    </row>
    <row r="18" customFormat="false" ht="15" hidden="false" customHeight="false" outlineLevel="0" collapsed="false">
      <c r="A18" s="6" t="str">
        <f aca="false">Locations!A18</f>
        <v>Vista del Campo Norte</v>
      </c>
      <c r="B18" s="7" t="n">
        <f aca="false">ROUND(3958.8*5280*ACOS(MIN(1,MAX(-1,SIN(RADIANS(Locations!$B18))*SIN(RADIANS(Locations!$B2))+COS(RADIANS(Locations!$B18))*COS(RADIANS(Locations!$B2))*COS(RADIANS(Locations!$C2-Locations!$C18))))),0)</f>
        <v>4699</v>
      </c>
      <c r="C18" s="7" t="n">
        <f aca="false">ROUND(3958.8*5280*ACOS(MIN(1,MAX(-1,SIN(RADIANS(Locations!$B18))*SIN(RADIANS(Locations!$B3))+COS(RADIANS(Locations!$B18))*COS(RADIANS(Locations!$B3))*COS(RADIANS(Locations!$C3-Locations!$C18))))),0)</f>
        <v>4508</v>
      </c>
      <c r="D18" s="7" t="n">
        <f aca="false">ROUND(3958.8*5280*ACOS(MIN(1,MAX(-1,SIN(RADIANS(Locations!$B18))*SIN(RADIANS(Locations!$B4))+COS(RADIANS(Locations!$B18))*COS(RADIANS(Locations!$B4))*COS(RADIANS(Locations!$C4-Locations!$C18))))),0)</f>
        <v>5134</v>
      </c>
      <c r="E18" s="7" t="n">
        <f aca="false">ROUND(3958.8*5280*ACOS(MIN(1,MAX(-1,SIN(RADIANS(Locations!$B18))*SIN(RADIANS(Locations!$B5))+COS(RADIANS(Locations!$B18))*COS(RADIANS(Locations!$B5))*COS(RADIANS(Locations!$C5-Locations!$C18))))),0)</f>
        <v>4247</v>
      </c>
      <c r="F18" s="7" t="n">
        <f aca="false">ROUND(3958.8*5280*ACOS(MIN(1,MAX(-1,SIN(RADIANS(Locations!$B18))*SIN(RADIANS(Locations!$B6))+COS(RADIANS(Locations!$B18))*COS(RADIANS(Locations!$B6))*COS(RADIANS(Locations!$C6-Locations!$C18))))),0)</f>
        <v>4706</v>
      </c>
      <c r="G18" s="7" t="n">
        <f aca="false">ROUND(3958.8*5280*ACOS(MIN(1,MAX(-1,SIN(RADIANS(Locations!$B18))*SIN(RADIANS(Locations!$B7))+COS(RADIANS(Locations!$B18))*COS(RADIANS(Locations!$B7))*COS(RADIANS(Locations!$C7-Locations!$C18))))),0)</f>
        <v>4477</v>
      </c>
      <c r="H18" s="7" t="n">
        <f aca="false">ROUND(3958.8*5280*ACOS(MIN(1,MAX(-1,SIN(RADIANS(Locations!$B18))*SIN(RADIANS(Locations!$B8))+COS(RADIANS(Locations!$B18))*COS(RADIANS(Locations!$B8))*COS(RADIANS(Locations!$C8-Locations!$C18))))),0)</f>
        <v>4237</v>
      </c>
      <c r="I18" s="7" t="n">
        <f aca="false">ROUND(3958.8*5280*ACOS(MIN(1,MAX(-1,SIN(RADIANS(Locations!$B18))*SIN(RADIANS(Locations!$B9))+COS(RADIANS(Locations!$B18))*COS(RADIANS(Locations!$B9))*COS(RADIANS(Locations!$C9-Locations!$C18))))),0)</f>
        <v>3632</v>
      </c>
      <c r="J18" s="7" t="n">
        <f aca="false">ROUND(3958.8*5280*ACOS(MIN(1,MAX(-1,SIN(RADIANS(Locations!$B18))*SIN(RADIANS(Locations!$B10))+COS(RADIANS(Locations!$B18))*COS(RADIANS(Locations!$B10))*COS(RADIANS(Locations!$C10-Locations!$C18))))),0)</f>
        <v>4007</v>
      </c>
      <c r="K18" s="7" t="n">
        <f aca="false">ROUND(3958.8*5280*ACOS(MIN(1,MAX(-1,SIN(RADIANS(Locations!$B18))*SIN(RADIANS(Locations!$B11))+COS(RADIANS(Locations!$B18))*COS(RADIANS(Locations!$B11))*COS(RADIANS(Locations!$C11-Locations!$C18))))),0)</f>
        <v>6750</v>
      </c>
      <c r="L18" s="7" t="n">
        <f aca="false">ROUND(3958.8*5280*ACOS(MIN(1,MAX(-1,SIN(RADIANS(Locations!$B18))*SIN(RADIANS(Locations!$B12))+COS(RADIANS(Locations!$B18))*COS(RADIANS(Locations!$B12))*COS(RADIANS(Locations!$C12-Locations!$C18))))),0)</f>
        <v>4214</v>
      </c>
      <c r="M18" s="7" t="n">
        <f aca="false">ROUND(3958.8*5280*ACOS(MIN(1,MAX(-1,SIN(RADIANS(Locations!$B18))*SIN(RADIANS(Locations!$B13))+COS(RADIANS(Locations!$B18))*COS(RADIANS(Locations!$B13))*COS(RADIANS(Locations!$C13-Locations!$C18))))),0)</f>
        <v>2942</v>
      </c>
      <c r="N18" s="7" t="n">
        <f aca="false">ROUND(3958.8*5280*ACOS(MIN(1,MAX(-1,SIN(RADIANS(Locations!$B18))*SIN(RADIANS(Locations!$B14))+COS(RADIANS(Locations!$B18))*COS(RADIANS(Locations!$B14))*COS(RADIANS(Locations!$C14-Locations!$C18))))),0)</f>
        <v>2220</v>
      </c>
      <c r="O18" s="7" t="n">
        <f aca="false">ROUND(3958.8*5280*ACOS(MIN(1,MAX(-1,SIN(RADIANS(Locations!$B18))*SIN(RADIANS(Locations!$B15))+COS(RADIANS(Locations!$B18))*COS(RADIANS(Locations!$B15))*COS(RADIANS(Locations!$C15-Locations!$C18))))),0)</f>
        <v>1690</v>
      </c>
      <c r="P18" s="7" t="n">
        <f aca="false">ROUND(3958.8*5280*ACOS(MIN(1,MAX(-1,SIN(RADIANS(Locations!$B18))*SIN(RADIANS(Locations!$B16))+COS(RADIANS(Locations!$B18))*COS(RADIANS(Locations!$B16))*COS(RADIANS(Locations!$C16-Locations!$C18))))),0)</f>
        <v>1738</v>
      </c>
      <c r="Q18" s="7" t="n">
        <f aca="false">ROUND(3958.8*5280*ACOS(MIN(1,MAX(-1,SIN(RADIANS(Locations!$B18))*SIN(RADIANS(Locations!$B17))+COS(RADIANS(Locations!$B18))*COS(RADIANS(Locations!$B17))*COS(RADIANS(Locations!$C17-Locations!$C18))))),0)</f>
        <v>1442</v>
      </c>
      <c r="R18" s="7" t="n">
        <f aca="false">0</f>
        <v>0</v>
      </c>
      <c r="S18" s="7" t="n">
        <f aca="false">ROUND(3958.8*5280*ACOS(MIN(1,MAX(-1,SIN(RADIANS(Locations!$B18))*SIN(RADIANS(Locations!$B19))+COS(RADIANS(Locations!$B18))*COS(RADIANS(Locations!$B19))*COS(RADIANS(Locations!$C19-Locations!$C18))))),0)</f>
        <v>769</v>
      </c>
      <c r="T18" s="7" t="n">
        <f aca="false">ROUND(3958.8*5280*ACOS(MIN(1,MAX(-1,SIN(RADIANS(Locations!$B18))*SIN(RADIANS(Locations!$B20))+COS(RADIANS(Locations!$B18))*COS(RADIANS(Locations!$B20))*COS(RADIANS(Locations!$C20-Locations!$C18))))),0)</f>
        <v>830</v>
      </c>
    </row>
    <row r="19" customFormat="false" ht="15" hidden="false" customHeight="false" outlineLevel="0" collapsed="false">
      <c r="A19" s="6" t="str">
        <f aca="false">Locations!A19</f>
        <v>Vista del Campo</v>
      </c>
      <c r="B19" s="7" t="n">
        <f aca="false">ROUND(3958.8*5280*ACOS(MIN(1,MAX(-1,SIN(RADIANS(Locations!$B19))*SIN(RADIANS(Locations!$B2))+COS(RADIANS(Locations!$B19))*COS(RADIANS(Locations!$B2))*COS(RADIANS(Locations!$C2-Locations!$C19))))),0)</f>
        <v>5141</v>
      </c>
      <c r="C19" s="7" t="n">
        <f aca="false">ROUND(3958.8*5280*ACOS(MIN(1,MAX(-1,SIN(RADIANS(Locations!$B19))*SIN(RADIANS(Locations!$B3))+COS(RADIANS(Locations!$B19))*COS(RADIANS(Locations!$B3))*COS(RADIANS(Locations!$C3-Locations!$C19))))),0)</f>
        <v>4988</v>
      </c>
      <c r="D19" s="7" t="n">
        <f aca="false">ROUND(3958.8*5280*ACOS(MIN(1,MAX(-1,SIN(RADIANS(Locations!$B19))*SIN(RADIANS(Locations!$B4))+COS(RADIANS(Locations!$B19))*COS(RADIANS(Locations!$B4))*COS(RADIANS(Locations!$C4-Locations!$C19))))),0)</f>
        <v>5620</v>
      </c>
      <c r="E19" s="7" t="n">
        <f aca="false">ROUND(3958.8*5280*ACOS(MIN(1,MAX(-1,SIN(RADIANS(Locations!$B19))*SIN(RADIANS(Locations!$B5))+COS(RADIANS(Locations!$B19))*COS(RADIANS(Locations!$B5))*COS(RADIANS(Locations!$C5-Locations!$C19))))),0)</f>
        <v>4781</v>
      </c>
      <c r="F19" s="7" t="n">
        <f aca="false">ROUND(3958.8*5280*ACOS(MIN(1,MAX(-1,SIN(RADIANS(Locations!$B19))*SIN(RADIANS(Locations!$B6))+COS(RADIANS(Locations!$B19))*COS(RADIANS(Locations!$B6))*COS(RADIANS(Locations!$C6-Locations!$C19))))),0)</f>
        <v>5119</v>
      </c>
      <c r="G19" s="7" t="n">
        <f aca="false">ROUND(3958.8*5280*ACOS(MIN(1,MAX(-1,SIN(RADIANS(Locations!$B19))*SIN(RADIANS(Locations!$B7))+COS(RADIANS(Locations!$B19))*COS(RADIANS(Locations!$B7))*COS(RADIANS(Locations!$C7-Locations!$C19))))),0)</f>
        <v>4795</v>
      </c>
      <c r="H19" s="7" t="n">
        <f aca="false">ROUND(3958.8*5280*ACOS(MIN(1,MAX(-1,SIN(RADIANS(Locations!$B19))*SIN(RADIANS(Locations!$B8))+COS(RADIANS(Locations!$B19))*COS(RADIANS(Locations!$B8))*COS(RADIANS(Locations!$C8-Locations!$C19))))),0)</f>
        <v>4540</v>
      </c>
      <c r="I19" s="7" t="n">
        <f aca="false">ROUND(3958.8*5280*ACOS(MIN(1,MAX(-1,SIN(RADIANS(Locations!$B19))*SIN(RADIANS(Locations!$B9))+COS(RADIANS(Locations!$B19))*COS(RADIANS(Locations!$B9))*COS(RADIANS(Locations!$C9-Locations!$C19))))),0)</f>
        <v>4055</v>
      </c>
      <c r="J19" s="7" t="n">
        <f aca="false">ROUND(3958.8*5280*ACOS(MIN(1,MAX(-1,SIN(RADIANS(Locations!$B19))*SIN(RADIANS(Locations!$B10))+COS(RADIANS(Locations!$B19))*COS(RADIANS(Locations!$B10))*COS(RADIANS(Locations!$C10-Locations!$C19))))),0)</f>
        <v>4448</v>
      </c>
      <c r="K19" s="7" t="n">
        <f aca="false">ROUND(3958.8*5280*ACOS(MIN(1,MAX(-1,SIN(RADIANS(Locations!$B19))*SIN(RADIANS(Locations!$B11))+COS(RADIANS(Locations!$B19))*COS(RADIANS(Locations!$B11))*COS(RADIANS(Locations!$C11-Locations!$C19))))),0)</f>
        <v>7097</v>
      </c>
      <c r="L19" s="7" t="n">
        <f aca="false">ROUND(3958.8*5280*ACOS(MIN(1,MAX(-1,SIN(RADIANS(Locations!$B19))*SIN(RADIANS(Locations!$B12))+COS(RADIANS(Locations!$B19))*COS(RADIANS(Locations!$B12))*COS(RADIANS(Locations!$C12-Locations!$C19))))),0)</f>
        <v>4261</v>
      </c>
      <c r="M19" s="7" t="n">
        <f aca="false">ROUND(3958.8*5280*ACOS(MIN(1,MAX(-1,SIN(RADIANS(Locations!$B19))*SIN(RADIANS(Locations!$B13))+COS(RADIANS(Locations!$B19))*COS(RADIANS(Locations!$B13))*COS(RADIANS(Locations!$C13-Locations!$C19))))),0)</f>
        <v>3238</v>
      </c>
      <c r="N19" s="7" t="n">
        <f aca="false">ROUND(3958.8*5280*ACOS(MIN(1,MAX(-1,SIN(RADIANS(Locations!$B19))*SIN(RADIANS(Locations!$B14))+COS(RADIANS(Locations!$B19))*COS(RADIANS(Locations!$B14))*COS(RADIANS(Locations!$C14-Locations!$C19))))),0)</f>
        <v>2158</v>
      </c>
      <c r="O19" s="7" t="n">
        <f aca="false">ROUND(3958.8*5280*ACOS(MIN(1,MAX(-1,SIN(RADIANS(Locations!$B19))*SIN(RADIANS(Locations!$B15))+COS(RADIANS(Locations!$B19))*COS(RADIANS(Locations!$B15))*COS(RADIANS(Locations!$C15-Locations!$C19))))),0)</f>
        <v>1974</v>
      </c>
      <c r="P19" s="7" t="n">
        <f aca="false">ROUND(3958.8*5280*ACOS(MIN(1,MAX(-1,SIN(RADIANS(Locations!$B19))*SIN(RADIANS(Locations!$B16))+COS(RADIANS(Locations!$B19))*COS(RADIANS(Locations!$B16))*COS(RADIANS(Locations!$C16-Locations!$C19))))),0)</f>
        <v>2150</v>
      </c>
      <c r="Q19" s="7" t="n">
        <f aca="false">ROUND(3958.8*5280*ACOS(MIN(1,MAX(-1,SIN(RADIANS(Locations!$B19))*SIN(RADIANS(Locations!$B17))+COS(RADIANS(Locations!$B19))*COS(RADIANS(Locations!$B17))*COS(RADIANS(Locations!$C17-Locations!$C19))))),0)</f>
        <v>1852</v>
      </c>
      <c r="R19" s="7" t="n">
        <f aca="false">ROUND(3958.8*5280*ACOS(MIN(1,MAX(-1,SIN(RADIANS(Locations!$B19))*SIN(RADIANS(Locations!$B18))+COS(RADIANS(Locations!$B19))*COS(RADIANS(Locations!$B18))*COS(RADIANS(Locations!$C18-Locations!$C19))))),0)</f>
        <v>769</v>
      </c>
      <c r="S19" s="7" t="n">
        <f aca="false">0</f>
        <v>0</v>
      </c>
      <c r="T19" s="7" t="n">
        <f aca="false">ROUND(3958.8*5280*ACOS(MIN(1,MAX(-1,SIN(RADIANS(Locations!$B19))*SIN(RADIANS(Locations!$B20))+COS(RADIANS(Locations!$B19))*COS(RADIANS(Locations!$B20))*COS(RADIANS(Locations!$C20-Locations!$C19))))),0)</f>
        <v>506</v>
      </c>
    </row>
    <row r="20" customFormat="false" ht="15" hidden="false" customHeight="false" outlineLevel="0" collapsed="false">
      <c r="A20" s="6" t="str">
        <f aca="false">Locations!A20</f>
        <v>Camino del Sol</v>
      </c>
      <c r="B20" s="7" t="n">
        <f aca="false">ROUND(3958.8*5280*ACOS(MIN(1,MAX(-1,SIN(RADIANS(Locations!$B20))*SIN(RADIANS(Locations!$B2))+COS(RADIANS(Locations!$B20))*COS(RADIANS(Locations!$B2))*COS(RADIANS(Locations!$C2-Locations!$C20))))),0)</f>
        <v>4696</v>
      </c>
      <c r="C20" s="7" t="n">
        <f aca="false">ROUND(3958.8*5280*ACOS(MIN(1,MAX(-1,SIN(RADIANS(Locations!$B20))*SIN(RADIANS(Locations!$B3))+COS(RADIANS(Locations!$B20))*COS(RADIANS(Locations!$B3))*COS(RADIANS(Locations!$C3-Locations!$C20))))),0)</f>
        <v>4559</v>
      </c>
      <c r="D20" s="7" t="n">
        <f aca="false">ROUND(3958.8*5280*ACOS(MIN(1,MAX(-1,SIN(RADIANS(Locations!$B20))*SIN(RADIANS(Locations!$B4))+COS(RADIANS(Locations!$B20))*COS(RADIANS(Locations!$B4))*COS(RADIANS(Locations!$C4-Locations!$C20))))),0)</f>
        <v>5192</v>
      </c>
      <c r="E20" s="7" t="n">
        <f aca="false">ROUND(3958.8*5280*ACOS(MIN(1,MAX(-1,SIN(RADIANS(Locations!$B20))*SIN(RADIANS(Locations!$B5))+COS(RADIANS(Locations!$B20))*COS(RADIANS(Locations!$B5))*COS(RADIANS(Locations!$C5-Locations!$C20))))),0)</f>
        <v>4380</v>
      </c>
      <c r="F20" s="7" t="n">
        <f aca="false">ROUND(3958.8*5280*ACOS(MIN(1,MAX(-1,SIN(RADIANS(Locations!$B20))*SIN(RADIANS(Locations!$B6))+COS(RADIANS(Locations!$B20))*COS(RADIANS(Locations!$B6))*COS(RADIANS(Locations!$C6-Locations!$C20))))),0)</f>
        <v>4664</v>
      </c>
      <c r="G20" s="7" t="n">
        <f aca="false">ROUND(3958.8*5280*ACOS(MIN(1,MAX(-1,SIN(RADIANS(Locations!$B20))*SIN(RADIANS(Locations!$B7))+COS(RADIANS(Locations!$B20))*COS(RADIANS(Locations!$B7))*COS(RADIANS(Locations!$C7-Locations!$C20))))),0)</f>
        <v>4314</v>
      </c>
      <c r="H20" s="7" t="n">
        <f aca="false">ROUND(3958.8*5280*ACOS(MIN(1,MAX(-1,SIN(RADIANS(Locations!$B20))*SIN(RADIANS(Locations!$B8))+COS(RADIANS(Locations!$B20))*COS(RADIANS(Locations!$B8))*COS(RADIANS(Locations!$C8-Locations!$C20))))),0)</f>
        <v>4057</v>
      </c>
      <c r="I20" s="7" t="n">
        <f aca="false">ROUND(3958.8*5280*ACOS(MIN(1,MAX(-1,SIN(RADIANS(Locations!$B20))*SIN(RADIANS(Locations!$B9))+COS(RADIANS(Locations!$B20))*COS(RADIANS(Locations!$B9))*COS(RADIANS(Locations!$C9-Locations!$C20))))),0)</f>
        <v>3609</v>
      </c>
      <c r="J20" s="7" t="n">
        <f aca="false">ROUND(3958.8*5280*ACOS(MIN(1,MAX(-1,SIN(RADIANS(Locations!$B20))*SIN(RADIANS(Locations!$B10))+COS(RADIANS(Locations!$B20))*COS(RADIANS(Locations!$B10))*COS(RADIANS(Locations!$C10-Locations!$C20))))),0)</f>
        <v>4006</v>
      </c>
      <c r="K20" s="7" t="n">
        <f aca="false">ROUND(3958.8*5280*ACOS(MIN(1,MAX(-1,SIN(RADIANS(Locations!$B20))*SIN(RADIANS(Locations!$B11))+COS(RADIANS(Locations!$B20))*COS(RADIANS(Locations!$B11))*COS(RADIANS(Locations!$C11-Locations!$C20))))),0)</f>
        <v>6617</v>
      </c>
      <c r="L20" s="7" t="n">
        <f aca="false">ROUND(3958.8*5280*ACOS(MIN(1,MAX(-1,SIN(RADIANS(Locations!$B20))*SIN(RADIANS(Locations!$B12))+COS(RADIANS(Locations!$B20))*COS(RADIANS(Locations!$B12))*COS(RADIANS(Locations!$C12-Locations!$C20))))),0)</f>
        <v>3757</v>
      </c>
      <c r="M20" s="7" t="n">
        <f aca="false">ROUND(3958.8*5280*ACOS(MIN(1,MAX(-1,SIN(RADIANS(Locations!$B20))*SIN(RADIANS(Locations!$B13))+COS(RADIANS(Locations!$B20))*COS(RADIANS(Locations!$B13))*COS(RADIANS(Locations!$C13-Locations!$C20))))),0)</f>
        <v>2759</v>
      </c>
      <c r="N20" s="7" t="n">
        <f aca="false">ROUND(3958.8*5280*ACOS(MIN(1,MAX(-1,SIN(RADIANS(Locations!$B20))*SIN(RADIANS(Locations!$B14))+COS(RADIANS(Locations!$B20))*COS(RADIANS(Locations!$B14))*COS(RADIANS(Locations!$C14-Locations!$C20))))),0)</f>
        <v>1656</v>
      </c>
      <c r="O20" s="7" t="n">
        <f aca="false">ROUND(3958.8*5280*ACOS(MIN(1,MAX(-1,SIN(RADIANS(Locations!$B20))*SIN(RADIANS(Locations!$B15))+COS(RADIANS(Locations!$B20))*COS(RADIANS(Locations!$B15))*COS(RADIANS(Locations!$C15-Locations!$C20))))),0)</f>
        <v>1512</v>
      </c>
      <c r="P20" s="7" t="n">
        <f aca="false">ROUND(3958.8*5280*ACOS(MIN(1,MAX(-1,SIN(RADIANS(Locations!$B20))*SIN(RADIANS(Locations!$B16))+COS(RADIANS(Locations!$B20))*COS(RADIANS(Locations!$B16))*COS(RADIANS(Locations!$C16-Locations!$C20))))),0)</f>
        <v>1730</v>
      </c>
      <c r="Q20" s="7" t="n">
        <f aca="false">ROUND(3958.8*5280*ACOS(MIN(1,MAX(-1,SIN(RADIANS(Locations!$B20))*SIN(RADIANS(Locations!$B17))+COS(RADIANS(Locations!$B20))*COS(RADIANS(Locations!$B17))*COS(RADIANS(Locations!$C17-Locations!$C20))))),0)</f>
        <v>1444</v>
      </c>
      <c r="R20" s="7" t="n">
        <f aca="false">ROUND(3958.8*5280*ACOS(MIN(1,MAX(-1,SIN(RADIANS(Locations!$B20))*SIN(RADIANS(Locations!$B18))+COS(RADIANS(Locations!$B20))*COS(RADIANS(Locations!$B18))*COS(RADIANS(Locations!$C18-Locations!$C20))))),0)</f>
        <v>830</v>
      </c>
      <c r="S20" s="7" t="n">
        <f aca="false">ROUND(3958.8*5280*ACOS(MIN(1,MAX(-1,SIN(RADIANS(Locations!$B20))*SIN(RADIANS(Locations!$B19))+COS(RADIANS(Locations!$B20))*COS(RADIANS(Locations!$B19))*COS(RADIANS(Locations!$C19-Locations!$C20))))),0)</f>
        <v>506</v>
      </c>
      <c r="T20" s="7" t="n">
        <f aca="false">0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7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22"/>
    <col collapsed="false" customWidth="true" hidden="false" outlineLevel="0" max="4" min="3" style="0" width="14"/>
  </cols>
  <sheetData>
    <row r="1" customFormat="false" ht="15" hidden="false" customHeight="false" outlineLevel="0" collapsed="false">
      <c r="A1" s="1" t="s">
        <v>23</v>
      </c>
      <c r="B1" s="1" t="s">
        <v>24</v>
      </c>
      <c r="C1" s="1" t="s">
        <v>25</v>
      </c>
      <c r="D1" s="1" t="s">
        <v>26</v>
      </c>
    </row>
    <row r="2" customFormat="false" ht="15" hidden="false" customHeight="false" outlineLevel="0" collapsed="false">
      <c r="A2" s="3" t="s">
        <v>4</v>
      </c>
      <c r="B2" s="3" t="s">
        <v>8</v>
      </c>
      <c r="C2" s="8" t="n">
        <f aca="false">ROUND(3958.8*5280*ACOS(MIN(1,MAX(-1,SIN(RADIANS(Locations!$B2))*SIN(RADIANS(Locations!$B6))+COS(RADIANS(Locations!$B2))*COS(RADIANS(Locations!$B6))*COS(RADIANS(Locations!$C6-Locations!$C2))))),0)</f>
        <v>220</v>
      </c>
      <c r="D2" s="9" t="n">
        <f aca="false">C2/5280</f>
        <v>0.0416666666666667</v>
      </c>
    </row>
    <row r="3" customFormat="false" ht="15" hidden="false" customHeight="false" outlineLevel="0" collapsed="false">
      <c r="A3" s="3" t="s">
        <v>9</v>
      </c>
      <c r="B3" s="3" t="s">
        <v>10</v>
      </c>
      <c r="C3" s="8" t="n">
        <f aca="false">ROUND(3958.8*5280*ACOS(MIN(1,MAX(-1,SIN(RADIANS(Locations!$B7))*SIN(RADIANS(Locations!$B8))+COS(RADIANS(Locations!$B7))*COS(RADIANS(Locations!$B8))*COS(RADIANS(Locations!$C8-Locations!$C7))))),0)</f>
        <v>265</v>
      </c>
      <c r="D3" s="9" t="n">
        <f aca="false">C3/5280</f>
        <v>0.0501893939393939</v>
      </c>
    </row>
    <row r="4" customFormat="false" ht="15" hidden="false" customHeight="false" outlineLevel="0" collapsed="false">
      <c r="A4" s="3" t="s">
        <v>18</v>
      </c>
      <c r="B4" s="3" t="s">
        <v>19</v>
      </c>
      <c r="C4" s="8" t="n">
        <f aca="false">ROUND(3958.8*5280*ACOS(MIN(1,MAX(-1,SIN(RADIANS(Locations!$B16))*SIN(RADIANS(Locations!$B17))+COS(RADIANS(Locations!$B16))*COS(RADIANS(Locations!$B17))*COS(RADIANS(Locations!$C17-Locations!$C16))))),0)</f>
        <v>302</v>
      </c>
      <c r="D4" s="9" t="n">
        <f aca="false">C4/5280</f>
        <v>0.0571969696969697</v>
      </c>
    </row>
    <row r="5" customFormat="false" ht="15" hidden="false" customHeight="false" outlineLevel="0" collapsed="false">
      <c r="A5" s="3" t="s">
        <v>4</v>
      </c>
      <c r="B5" s="3" t="s">
        <v>5</v>
      </c>
      <c r="C5" s="8" t="n">
        <f aca="false">ROUND(3958.8*5280*ACOS(MIN(1,MAX(-1,SIN(RADIANS(Locations!$B2))*SIN(RADIANS(Locations!$B3))+COS(RADIANS(Locations!$B2))*COS(RADIANS(Locations!$B3))*COS(RADIANS(Locations!$C3-Locations!$C2))))),0)</f>
        <v>342</v>
      </c>
      <c r="D5" s="9" t="n">
        <f aca="false">C5/5280</f>
        <v>0.0647727272727273</v>
      </c>
    </row>
    <row r="6" customFormat="false" ht="15" hidden="false" customHeight="false" outlineLevel="0" collapsed="false">
      <c r="A6" s="3" t="s">
        <v>17</v>
      </c>
      <c r="B6" s="3" t="s">
        <v>19</v>
      </c>
      <c r="C6" s="8" t="n">
        <f aca="false">ROUND(3958.8*5280*ACOS(MIN(1,MAX(-1,SIN(RADIANS(Locations!$B15))*SIN(RADIANS(Locations!$B17))+COS(RADIANS(Locations!$B15))*COS(RADIANS(Locations!$B17))*COS(RADIANS(Locations!$C17-Locations!$C15))))),0)</f>
        <v>370</v>
      </c>
      <c r="D6" s="9" t="n">
        <f aca="false">C6/5280</f>
        <v>0.0700757575757576</v>
      </c>
    </row>
    <row r="7" customFormat="false" ht="15" hidden="false" customHeight="false" outlineLevel="0" collapsed="false">
      <c r="A7" s="3" t="s">
        <v>17</v>
      </c>
      <c r="B7" s="3" t="s">
        <v>18</v>
      </c>
      <c r="C7" s="8" t="n">
        <f aca="false">ROUND(3958.8*5280*ACOS(MIN(1,MAX(-1,SIN(RADIANS(Locations!$B15))*SIN(RADIANS(Locations!$B16))+COS(RADIANS(Locations!$B15))*COS(RADIANS(Locations!$B16))*COS(RADIANS(Locations!$C16-Locations!$C15))))),0)</f>
        <v>371</v>
      </c>
      <c r="D7" s="9" t="n">
        <f aca="false">C7/5280</f>
        <v>0.0702651515151515</v>
      </c>
    </row>
    <row r="8" customFormat="false" ht="15" hidden="false" customHeight="false" outlineLevel="0" collapsed="false">
      <c r="A8" s="3" t="s">
        <v>11</v>
      </c>
      <c r="B8" s="3" t="s">
        <v>12</v>
      </c>
      <c r="C8" s="8" t="n">
        <f aca="false">ROUND(3958.8*5280*ACOS(MIN(1,MAX(-1,SIN(RADIANS(Locations!$B9))*SIN(RADIANS(Locations!$B10))+COS(RADIANS(Locations!$B9))*COS(RADIANS(Locations!$B10))*COS(RADIANS(Locations!$C10-Locations!$C9))))),0)</f>
        <v>400</v>
      </c>
      <c r="D8" s="9" t="n">
        <f aca="false">C8/5280</f>
        <v>0.0757575757575758</v>
      </c>
    </row>
    <row r="9" customFormat="false" ht="15" hidden="false" customHeight="false" outlineLevel="0" collapsed="false">
      <c r="A9" s="3" t="s">
        <v>5</v>
      </c>
      <c r="B9" s="3" t="s">
        <v>7</v>
      </c>
      <c r="C9" s="8" t="n">
        <f aca="false">ROUND(3958.8*5280*ACOS(MIN(1,MAX(-1,SIN(RADIANS(Locations!$B3))*SIN(RADIANS(Locations!$B5))+COS(RADIANS(Locations!$B3))*COS(RADIANS(Locations!$B5))*COS(RADIANS(Locations!$C5-Locations!$C3))))),0)</f>
        <v>489</v>
      </c>
      <c r="D9" s="9" t="n">
        <f aca="false">C9/5280</f>
        <v>0.0926136363636364</v>
      </c>
    </row>
    <row r="10" customFormat="false" ht="15" hidden="false" customHeight="false" outlineLevel="0" collapsed="false">
      <c r="A10" s="3" t="s">
        <v>21</v>
      </c>
      <c r="B10" s="3" t="s">
        <v>22</v>
      </c>
      <c r="C10" s="8" t="n">
        <f aca="false">ROUND(3958.8*5280*ACOS(MIN(1,MAX(-1,SIN(RADIANS(Locations!$B19))*SIN(RADIANS(Locations!$B20))+COS(RADIANS(Locations!$B19))*COS(RADIANS(Locations!$B20))*COS(RADIANS(Locations!$C20-Locations!$C19))))),0)</f>
        <v>506</v>
      </c>
      <c r="D10" s="9" t="n">
        <f aca="false">C10/5280</f>
        <v>0.0958333333333333</v>
      </c>
    </row>
    <row r="11" customFormat="false" ht="15" hidden="false" customHeight="false" outlineLevel="0" collapsed="false">
      <c r="A11" s="3" t="s">
        <v>5</v>
      </c>
      <c r="B11" s="3" t="s">
        <v>8</v>
      </c>
      <c r="C11" s="8" t="n">
        <f aca="false">ROUND(3958.8*5280*ACOS(MIN(1,MAX(-1,SIN(RADIANS(Locations!$B3))*SIN(RADIANS(Locations!$B6))+COS(RADIANS(Locations!$B3))*COS(RADIANS(Locations!$B6))*COS(RADIANS(Locations!$C6-Locations!$C3))))),0)</f>
        <v>538</v>
      </c>
      <c r="D11" s="9" t="n">
        <f aca="false">C11/5280</f>
        <v>0.101893939393939</v>
      </c>
    </row>
    <row r="12" customFormat="false" ht="15" hidden="false" customHeight="false" outlineLevel="0" collapsed="false">
      <c r="A12" s="3" t="s">
        <v>4</v>
      </c>
      <c r="B12" s="3" t="s">
        <v>6</v>
      </c>
      <c r="C12" s="8" t="n">
        <f aca="false">ROUND(3958.8*5280*ACOS(MIN(1,MAX(-1,SIN(RADIANS(Locations!$B2))*SIN(RADIANS(Locations!$B4))+COS(RADIANS(Locations!$B2))*COS(RADIANS(Locations!$B4))*COS(RADIANS(Locations!$C4-Locations!$C2))))),0)</f>
        <v>594</v>
      </c>
      <c r="D12" s="9" t="n">
        <f aca="false">C12/5280</f>
        <v>0.1125</v>
      </c>
    </row>
    <row r="13" customFormat="false" ht="15" hidden="false" customHeight="false" outlineLevel="0" collapsed="false">
      <c r="A13" s="3" t="s">
        <v>5</v>
      </c>
      <c r="B13" s="3" t="s">
        <v>12</v>
      </c>
      <c r="C13" s="8" t="n">
        <f aca="false">ROUND(3958.8*5280*ACOS(MIN(1,MAX(-1,SIN(RADIANS(Locations!$B3))*SIN(RADIANS(Locations!$B10))+COS(RADIANS(Locations!$B3))*COS(RADIANS(Locations!$B10))*COS(RADIANS(Locations!$C10-Locations!$C3))))),0)</f>
        <v>594</v>
      </c>
      <c r="D13" s="9" t="n">
        <f aca="false">C13/5280</f>
        <v>0.1125</v>
      </c>
    </row>
    <row r="14" customFormat="false" ht="15" hidden="false" customHeight="false" outlineLevel="0" collapsed="false">
      <c r="A14" s="3" t="s">
        <v>5</v>
      </c>
      <c r="B14" s="3" t="s">
        <v>6</v>
      </c>
      <c r="C14" s="8" t="n">
        <f aca="false">ROUND(3958.8*5280*ACOS(MIN(1,MAX(-1,SIN(RADIANS(Locations!$B3))*SIN(RADIANS(Locations!$B4))+COS(RADIANS(Locations!$B3))*COS(RADIANS(Locations!$B4))*COS(RADIANS(Locations!$C4-Locations!$C3))))),0)</f>
        <v>633</v>
      </c>
      <c r="D14" s="9" t="n">
        <f aca="false">C14/5280</f>
        <v>0.119886363636364</v>
      </c>
    </row>
    <row r="15" customFormat="false" ht="15" hidden="false" customHeight="false" outlineLevel="0" collapsed="false">
      <c r="A15" s="3" t="s">
        <v>4</v>
      </c>
      <c r="B15" s="3" t="s">
        <v>12</v>
      </c>
      <c r="C15" s="8" t="n">
        <f aca="false">ROUND(3958.8*5280*ACOS(MIN(1,MAX(-1,SIN(RADIANS(Locations!$B2))*SIN(RADIANS(Locations!$B10))+COS(RADIANS(Locations!$B2))*COS(RADIANS(Locations!$B10))*COS(RADIANS(Locations!$C10-Locations!$C2))))),0)</f>
        <v>694</v>
      </c>
      <c r="D15" s="9" t="n">
        <f aca="false">C15/5280</f>
        <v>0.131439393939394</v>
      </c>
    </row>
    <row r="16" customFormat="false" ht="15" hidden="false" customHeight="false" outlineLevel="0" collapsed="false">
      <c r="A16" s="3" t="s">
        <v>8</v>
      </c>
      <c r="B16" s="3" t="s">
        <v>12</v>
      </c>
      <c r="C16" s="8" t="n">
        <f aca="false">ROUND(3958.8*5280*ACOS(MIN(1,MAX(-1,SIN(RADIANS(Locations!$B6))*SIN(RADIANS(Locations!$B10))+COS(RADIANS(Locations!$B6))*COS(RADIANS(Locations!$B10))*COS(RADIANS(Locations!$C10-Locations!$C6))))),0)</f>
        <v>714</v>
      </c>
      <c r="D16" s="9" t="n">
        <f aca="false">C16/5280</f>
        <v>0.135227272727273</v>
      </c>
    </row>
    <row r="17" customFormat="false" ht="15" hidden="false" customHeight="false" outlineLevel="0" collapsed="false">
      <c r="A17" s="3" t="s">
        <v>8</v>
      </c>
      <c r="B17" s="3" t="s">
        <v>9</v>
      </c>
      <c r="C17" s="8" t="n">
        <f aca="false">ROUND(3958.8*5280*ACOS(MIN(1,MAX(-1,SIN(RADIANS(Locations!$B6))*SIN(RADIANS(Locations!$B7))+COS(RADIANS(Locations!$B6))*COS(RADIANS(Locations!$B7))*COS(RADIANS(Locations!$C7-Locations!$C6))))),0)</f>
        <v>730</v>
      </c>
      <c r="D17" s="9" t="n">
        <f aca="false">C17/5280</f>
        <v>0.138257575757576</v>
      </c>
    </row>
    <row r="18" customFormat="false" ht="15" hidden="false" customHeight="false" outlineLevel="0" collapsed="false">
      <c r="A18" s="3" t="s">
        <v>7</v>
      </c>
      <c r="B18" s="3" t="s">
        <v>12</v>
      </c>
      <c r="C18" s="8" t="n">
        <f aca="false">ROUND(3958.8*5280*ACOS(MIN(1,MAX(-1,SIN(RADIANS(Locations!$B5))*SIN(RADIANS(Locations!$B10))+COS(RADIANS(Locations!$B5))*COS(RADIANS(Locations!$B10))*COS(RADIANS(Locations!$C10-Locations!$C5))))),0)</f>
        <v>740</v>
      </c>
      <c r="D18" s="9" t="n">
        <f aca="false">C18/5280</f>
        <v>0.140151515151515</v>
      </c>
    </row>
    <row r="19" customFormat="false" ht="15" hidden="false" customHeight="false" outlineLevel="0" collapsed="false">
      <c r="A19" s="3" t="s">
        <v>6</v>
      </c>
      <c r="B19" s="3" t="s">
        <v>8</v>
      </c>
      <c r="C19" s="8" t="n">
        <f aca="false">ROUND(3958.8*5280*ACOS(MIN(1,MAX(-1,SIN(RADIANS(Locations!$B4))*SIN(RADIANS(Locations!$B6))+COS(RADIANS(Locations!$B4))*COS(RADIANS(Locations!$B6))*COS(RADIANS(Locations!$C6-Locations!$C4))))),0)</f>
        <v>765</v>
      </c>
      <c r="D19" s="9" t="n">
        <f aca="false">C19/5280</f>
        <v>0.144886363636364</v>
      </c>
    </row>
    <row r="20" customFormat="false" ht="15" hidden="false" customHeight="false" outlineLevel="0" collapsed="false">
      <c r="A20" s="3" t="s">
        <v>20</v>
      </c>
      <c r="B20" s="3" t="s">
        <v>21</v>
      </c>
      <c r="C20" s="8" t="n">
        <f aca="false">ROUND(3958.8*5280*ACOS(MIN(1,MAX(-1,SIN(RADIANS(Locations!$B18))*SIN(RADIANS(Locations!$B19))+COS(RADIANS(Locations!$B18))*COS(RADIANS(Locations!$B19))*COS(RADIANS(Locations!$C19-Locations!$C18))))),0)</f>
        <v>769</v>
      </c>
      <c r="D20" s="9" t="n">
        <f aca="false">C20/5280</f>
        <v>0.145643939393939</v>
      </c>
    </row>
    <row r="21" customFormat="false" ht="15" hidden="false" customHeight="false" outlineLevel="0" collapsed="false">
      <c r="A21" s="3" t="s">
        <v>20</v>
      </c>
      <c r="B21" s="3" t="s">
        <v>22</v>
      </c>
      <c r="C21" s="8" t="n">
        <f aca="false">ROUND(3958.8*5280*ACOS(MIN(1,MAX(-1,SIN(RADIANS(Locations!$B18))*SIN(RADIANS(Locations!$B20))+COS(RADIANS(Locations!$B18))*COS(RADIANS(Locations!$B20))*COS(RADIANS(Locations!$C20-Locations!$C18))))),0)</f>
        <v>830</v>
      </c>
      <c r="D21" s="9" t="n">
        <f aca="false">C21/5280</f>
        <v>0.15719696969697</v>
      </c>
    </row>
    <row r="22" customFormat="false" ht="15" hidden="false" customHeight="false" outlineLevel="0" collapsed="false">
      <c r="A22" s="3" t="s">
        <v>4</v>
      </c>
      <c r="B22" s="3" t="s">
        <v>7</v>
      </c>
      <c r="C22" s="8" t="n">
        <f aca="false">ROUND(3958.8*5280*ACOS(MIN(1,MAX(-1,SIN(RADIANS(Locations!$B2))*SIN(RADIANS(Locations!$B5))+COS(RADIANS(Locations!$B2))*COS(RADIANS(Locations!$B5))*COS(RADIANS(Locations!$C5-Locations!$C2))))),0)</f>
        <v>832</v>
      </c>
      <c r="D22" s="9" t="n">
        <f aca="false">C22/5280</f>
        <v>0.157575757575758</v>
      </c>
    </row>
    <row r="23" customFormat="false" ht="15" hidden="false" customHeight="false" outlineLevel="0" collapsed="false">
      <c r="A23" s="3" t="s">
        <v>10</v>
      </c>
      <c r="B23" s="3" t="s">
        <v>12</v>
      </c>
      <c r="C23" s="8" t="n">
        <f aca="false">ROUND(3958.8*5280*ACOS(MIN(1,MAX(-1,SIN(RADIANS(Locations!$B8))*SIN(RADIANS(Locations!$B10))+COS(RADIANS(Locations!$B8))*COS(RADIANS(Locations!$B10))*COS(RADIANS(Locations!$C10-Locations!$C8))))),0)</f>
        <v>893</v>
      </c>
      <c r="D23" s="9" t="n">
        <f aca="false">C23/5280</f>
        <v>0.169128787878788</v>
      </c>
    </row>
    <row r="24" customFormat="false" ht="15" hidden="false" customHeight="false" outlineLevel="0" collapsed="false">
      <c r="A24" s="3" t="s">
        <v>10</v>
      </c>
      <c r="B24" s="3" t="s">
        <v>11</v>
      </c>
      <c r="C24" s="8" t="n">
        <f aca="false">ROUND(3958.8*5280*ACOS(MIN(1,MAX(-1,SIN(RADIANS(Locations!$B8))*SIN(RADIANS(Locations!$B9))+COS(RADIANS(Locations!$B8))*COS(RADIANS(Locations!$B9))*COS(RADIANS(Locations!$C9-Locations!$C8))))),0)</f>
        <v>909</v>
      </c>
      <c r="D24" s="9" t="n">
        <f aca="false">C24/5280</f>
        <v>0.172159090909091</v>
      </c>
    </row>
    <row r="25" customFormat="false" ht="15" hidden="false" customHeight="false" outlineLevel="0" collapsed="false">
      <c r="A25" s="3" t="s">
        <v>9</v>
      </c>
      <c r="B25" s="3" t="s">
        <v>12</v>
      </c>
      <c r="C25" s="8" t="n">
        <f aca="false">ROUND(3958.8*5280*ACOS(MIN(1,MAX(-1,SIN(RADIANS(Locations!$B7))*SIN(RADIANS(Locations!$B10))+COS(RADIANS(Locations!$B7))*COS(RADIANS(Locations!$B10))*COS(RADIANS(Locations!$C10-Locations!$C7))))),0)</f>
        <v>910</v>
      </c>
      <c r="D25" s="9" t="n">
        <f aca="false">C25/5280</f>
        <v>0.172348484848485</v>
      </c>
    </row>
    <row r="26" customFormat="false" ht="15" hidden="false" customHeight="false" outlineLevel="0" collapsed="false">
      <c r="A26" s="3" t="s">
        <v>8</v>
      </c>
      <c r="B26" s="3" t="s">
        <v>10</v>
      </c>
      <c r="C26" s="8" t="n">
        <f aca="false">ROUND(3958.8*5280*ACOS(MIN(1,MAX(-1,SIN(RADIANS(Locations!$B6))*SIN(RADIANS(Locations!$B8))+COS(RADIANS(Locations!$B6))*COS(RADIANS(Locations!$B8))*COS(RADIANS(Locations!$C8-Locations!$C6))))),0)</f>
        <v>916</v>
      </c>
      <c r="D26" s="9" t="n">
        <f aca="false">C26/5280</f>
        <v>0.173484848484849</v>
      </c>
    </row>
    <row r="27" customFormat="false" ht="15" hidden="false" customHeight="false" outlineLevel="0" collapsed="false">
      <c r="A27" s="3" t="s">
        <v>4</v>
      </c>
      <c r="B27" s="3" t="s">
        <v>9</v>
      </c>
      <c r="C27" s="8" t="n">
        <f aca="false">ROUND(3958.8*5280*ACOS(MIN(1,MAX(-1,SIN(RADIANS(Locations!$B2))*SIN(RADIANS(Locations!$B7))+COS(RADIANS(Locations!$B2))*COS(RADIANS(Locations!$B7))*COS(RADIANS(Locations!$C7-Locations!$C2))))),0)</f>
        <v>933</v>
      </c>
      <c r="D27" s="9" t="n">
        <f aca="false">C27/5280</f>
        <v>0.176704545454545</v>
      </c>
    </row>
    <row r="28" customFormat="false" ht="15" hidden="false" customHeight="false" outlineLevel="0" collapsed="false">
      <c r="A28" s="3" t="s">
        <v>6</v>
      </c>
      <c r="B28" s="3" t="s">
        <v>7</v>
      </c>
      <c r="C28" s="8" t="n">
        <f aca="false">ROUND(3958.8*5280*ACOS(MIN(1,MAX(-1,SIN(RADIANS(Locations!$B4))*SIN(RADIANS(Locations!$B5))+COS(RADIANS(Locations!$B4))*COS(RADIANS(Locations!$B5))*COS(RADIANS(Locations!$C5-Locations!$C4))))),0)</f>
        <v>951</v>
      </c>
      <c r="D28" s="9" t="n">
        <f aca="false">C28/5280</f>
        <v>0.180113636363636</v>
      </c>
    </row>
    <row r="29" customFormat="false" ht="15" hidden="false" customHeight="false" outlineLevel="0" collapsed="false">
      <c r="A29" s="3" t="s">
        <v>16</v>
      </c>
      <c r="B29" s="3" t="s">
        <v>17</v>
      </c>
      <c r="C29" s="8" t="n">
        <f aca="false">ROUND(3958.8*5280*ACOS(MIN(1,MAX(-1,SIN(RADIANS(Locations!$B14))*SIN(RADIANS(Locations!$B15))+COS(RADIANS(Locations!$B14))*COS(RADIANS(Locations!$B15))*COS(RADIANS(Locations!$C15-Locations!$C14))))),0)</f>
        <v>979</v>
      </c>
      <c r="D29" s="9" t="n">
        <f aca="false">C29/5280</f>
        <v>0.185416666666667</v>
      </c>
    </row>
    <row r="30" customFormat="false" ht="15" hidden="false" customHeight="false" outlineLevel="0" collapsed="false">
      <c r="A30" s="3" t="s">
        <v>5</v>
      </c>
      <c r="B30" s="3" t="s">
        <v>11</v>
      </c>
      <c r="C30" s="8" t="n">
        <f aca="false">ROUND(3958.8*5280*ACOS(MIN(1,MAX(-1,SIN(RADIANS(Locations!$B3))*SIN(RADIANS(Locations!$B9))+COS(RADIANS(Locations!$B3))*COS(RADIANS(Locations!$B9))*COS(RADIANS(Locations!$C9-Locations!$C3))))),0)</f>
        <v>986</v>
      </c>
      <c r="D30" s="9" t="n">
        <f aca="false">C30/5280</f>
        <v>0.186742424242424</v>
      </c>
    </row>
    <row r="31" customFormat="false" ht="15" hidden="false" customHeight="false" outlineLevel="0" collapsed="false">
      <c r="A31" s="3" t="s">
        <v>11</v>
      </c>
      <c r="B31" s="3" t="s">
        <v>15</v>
      </c>
      <c r="C31" s="8" t="n">
        <f aca="false">ROUND(3958.8*5280*ACOS(MIN(1,MAX(-1,SIN(RADIANS(Locations!$B9))*SIN(RADIANS(Locations!$B13))+COS(RADIANS(Locations!$B9))*COS(RADIANS(Locations!$B13))*COS(RADIANS(Locations!$C13-Locations!$C9))))),0)</f>
        <v>996</v>
      </c>
      <c r="D31" s="9" t="n">
        <f aca="false">C31/5280</f>
        <v>0.188636363636364</v>
      </c>
    </row>
    <row r="32" customFormat="false" ht="15" hidden="false" customHeight="false" outlineLevel="0" collapsed="false">
      <c r="A32" s="3" t="s">
        <v>7</v>
      </c>
      <c r="B32" s="3" t="s">
        <v>8</v>
      </c>
      <c r="C32" s="8" t="n">
        <f aca="false">ROUND(3958.8*5280*ACOS(MIN(1,MAX(-1,SIN(RADIANS(Locations!$B5))*SIN(RADIANS(Locations!$B6))+COS(RADIANS(Locations!$B5))*COS(RADIANS(Locations!$B6))*COS(RADIANS(Locations!$C6-Locations!$C5))))),0)</f>
        <v>1016</v>
      </c>
      <c r="D32" s="9" t="n">
        <f aca="false">C32/5280</f>
        <v>0.192424242424242</v>
      </c>
    </row>
    <row r="33" customFormat="false" ht="15" hidden="false" customHeight="false" outlineLevel="0" collapsed="false">
      <c r="A33" s="3" t="s">
        <v>7</v>
      </c>
      <c r="B33" s="3" t="s">
        <v>11</v>
      </c>
      <c r="C33" s="8" t="n">
        <f aca="false">ROUND(3958.8*5280*ACOS(MIN(1,MAX(-1,SIN(RADIANS(Locations!$B5))*SIN(RADIANS(Locations!$B9))+COS(RADIANS(Locations!$B5))*COS(RADIANS(Locations!$B9))*COS(RADIANS(Locations!$C9-Locations!$C5))))),0)</f>
        <v>1017</v>
      </c>
      <c r="D33" s="9" t="n">
        <f aca="false">C33/5280</f>
        <v>0.192613636363636</v>
      </c>
    </row>
    <row r="34" customFormat="false" ht="15" hidden="false" customHeight="false" outlineLevel="0" collapsed="false">
      <c r="A34" s="3" t="s">
        <v>9</v>
      </c>
      <c r="B34" s="3" t="s">
        <v>11</v>
      </c>
      <c r="C34" s="8" t="n">
        <f aca="false">ROUND(3958.8*5280*ACOS(MIN(1,MAX(-1,SIN(RADIANS(Locations!$B7))*SIN(RADIANS(Locations!$B9))+COS(RADIANS(Locations!$B7))*COS(RADIANS(Locations!$B9))*COS(RADIANS(Locations!$C9-Locations!$C7))))),0)</f>
        <v>1033</v>
      </c>
      <c r="D34" s="9" t="n">
        <f aca="false">C34/5280</f>
        <v>0.195643939393939</v>
      </c>
    </row>
    <row r="35" customFormat="false" ht="15" hidden="false" customHeight="false" outlineLevel="0" collapsed="false">
      <c r="A35" s="3" t="s">
        <v>8</v>
      </c>
      <c r="B35" s="3" t="s">
        <v>11</v>
      </c>
      <c r="C35" s="8" t="n">
        <f aca="false">ROUND(3958.8*5280*ACOS(MIN(1,MAX(-1,SIN(RADIANS(Locations!$B6))*SIN(RADIANS(Locations!$B9))+COS(RADIANS(Locations!$B6))*COS(RADIANS(Locations!$B9))*COS(RADIANS(Locations!$C9-Locations!$C6))))),0)</f>
        <v>1074</v>
      </c>
      <c r="D35" s="9" t="n">
        <f aca="false">C35/5280</f>
        <v>0.203409090909091</v>
      </c>
    </row>
    <row r="36" customFormat="false" ht="15" hidden="false" customHeight="false" outlineLevel="0" collapsed="false">
      <c r="A36" s="3" t="s">
        <v>4</v>
      </c>
      <c r="B36" s="3" t="s">
        <v>11</v>
      </c>
      <c r="C36" s="8" t="n">
        <f aca="false">ROUND(3958.8*5280*ACOS(MIN(1,MAX(-1,SIN(RADIANS(Locations!$B2))*SIN(RADIANS(Locations!$B9))+COS(RADIANS(Locations!$B2))*COS(RADIANS(Locations!$B9))*COS(RADIANS(Locations!$C9-Locations!$C2))))),0)</f>
        <v>1087</v>
      </c>
      <c r="D36" s="9" t="n">
        <f aca="false">C36/5280</f>
        <v>0.205871212121212</v>
      </c>
    </row>
    <row r="37" customFormat="false" ht="15" hidden="false" customHeight="false" outlineLevel="0" collapsed="false">
      <c r="A37" s="3" t="s">
        <v>4</v>
      </c>
      <c r="B37" s="3" t="s">
        <v>10</v>
      </c>
      <c r="C37" s="8" t="n">
        <f aca="false">ROUND(3958.8*5280*ACOS(MIN(1,MAX(-1,SIN(RADIANS(Locations!$B2))*SIN(RADIANS(Locations!$B8))+COS(RADIANS(Locations!$B2))*COS(RADIANS(Locations!$B8))*COS(RADIANS(Locations!$C8-Locations!$C2))))),0)</f>
        <v>1096</v>
      </c>
      <c r="D37" s="9" t="n">
        <f aca="false">C37/5280</f>
        <v>0.207575757575758</v>
      </c>
    </row>
    <row r="38" customFormat="false" ht="15" hidden="false" customHeight="false" outlineLevel="0" collapsed="false">
      <c r="A38" s="3" t="s">
        <v>5</v>
      </c>
      <c r="B38" s="3" t="s">
        <v>9</v>
      </c>
      <c r="C38" s="8" t="n">
        <f aca="false">ROUND(3958.8*5280*ACOS(MIN(1,MAX(-1,SIN(RADIANS(Locations!$B3))*SIN(RADIANS(Locations!$B7))+COS(RADIANS(Locations!$B3))*COS(RADIANS(Locations!$B7))*COS(RADIANS(Locations!$C7-Locations!$C3))))),0)</f>
        <v>1163</v>
      </c>
      <c r="D38" s="9" t="n">
        <f aca="false">C38/5280</f>
        <v>0.220265151515152</v>
      </c>
    </row>
    <row r="39" customFormat="false" ht="15" hidden="false" customHeight="false" outlineLevel="0" collapsed="false">
      <c r="A39" s="3" t="s">
        <v>6</v>
      </c>
      <c r="B39" s="3" t="s">
        <v>12</v>
      </c>
      <c r="C39" s="8" t="n">
        <f aca="false">ROUND(3958.8*5280*ACOS(MIN(1,MAX(-1,SIN(RADIANS(Locations!$B4))*SIN(RADIANS(Locations!$B10))+COS(RADIANS(Locations!$B4))*COS(RADIANS(Locations!$B10))*COS(RADIANS(Locations!$C10-Locations!$C4))))),0)</f>
        <v>1207</v>
      </c>
      <c r="D39" s="9" t="n">
        <f aca="false">C39/5280</f>
        <v>0.228598484848485</v>
      </c>
    </row>
    <row r="40" customFormat="false" ht="15" hidden="false" customHeight="false" outlineLevel="0" collapsed="false">
      <c r="A40" s="3" t="s">
        <v>15</v>
      </c>
      <c r="B40" s="3" t="s">
        <v>18</v>
      </c>
      <c r="C40" s="8" t="n">
        <f aca="false">ROUND(3958.8*5280*ACOS(MIN(1,MAX(-1,SIN(RADIANS(Locations!$B13))*SIN(RADIANS(Locations!$B16))+COS(RADIANS(Locations!$B13))*COS(RADIANS(Locations!$B16))*COS(RADIANS(Locations!$C16-Locations!$C13))))),0)</f>
        <v>1230</v>
      </c>
      <c r="D40" s="9" t="n">
        <f aca="false">C40/5280</f>
        <v>0.232954545454545</v>
      </c>
    </row>
    <row r="41" customFormat="false" ht="15" hidden="false" customHeight="false" outlineLevel="0" collapsed="false">
      <c r="A41" s="3" t="s">
        <v>5</v>
      </c>
      <c r="B41" s="3" t="s">
        <v>10</v>
      </c>
      <c r="C41" s="8" t="n">
        <f aca="false">ROUND(3958.8*5280*ACOS(MIN(1,MAX(-1,SIN(RADIANS(Locations!$B3))*SIN(RADIANS(Locations!$B8))+COS(RADIANS(Locations!$B3))*COS(RADIANS(Locations!$B8))*COS(RADIANS(Locations!$C8-Locations!$C3))))),0)</f>
        <v>1271</v>
      </c>
      <c r="D41" s="9" t="n">
        <f aca="false">C41/5280</f>
        <v>0.240719696969697</v>
      </c>
    </row>
    <row r="42" customFormat="false" ht="15" hidden="false" customHeight="false" outlineLevel="0" collapsed="false">
      <c r="A42" s="3" t="s">
        <v>15</v>
      </c>
      <c r="B42" s="3" t="s">
        <v>17</v>
      </c>
      <c r="C42" s="8" t="n">
        <f aca="false">ROUND(3958.8*5280*ACOS(MIN(1,MAX(-1,SIN(RADIANS(Locations!$B13))*SIN(RADIANS(Locations!$B15))+COS(RADIANS(Locations!$B13))*COS(RADIANS(Locations!$B15))*COS(RADIANS(Locations!$C15-Locations!$C13))))),0)</f>
        <v>1273</v>
      </c>
      <c r="D42" s="9" t="n">
        <f aca="false">C42/5280</f>
        <v>0.241098484848485</v>
      </c>
    </row>
    <row r="43" customFormat="false" ht="15" hidden="false" customHeight="false" outlineLevel="0" collapsed="false">
      <c r="A43" s="3" t="s">
        <v>10</v>
      </c>
      <c r="B43" s="3" t="s">
        <v>15</v>
      </c>
      <c r="C43" s="8" t="n">
        <f aca="false">ROUND(3958.8*5280*ACOS(MIN(1,MAX(-1,SIN(RADIANS(Locations!$B8))*SIN(RADIANS(Locations!$B13))+COS(RADIANS(Locations!$B8))*COS(RADIANS(Locations!$B13))*COS(RADIANS(Locations!$C13-Locations!$C8))))),0)</f>
        <v>1306</v>
      </c>
      <c r="D43" s="9" t="n">
        <f aca="false">C43/5280</f>
        <v>0.247348484848485</v>
      </c>
    </row>
    <row r="44" customFormat="false" ht="15" hidden="false" customHeight="false" outlineLevel="0" collapsed="false">
      <c r="A44" s="3" t="s">
        <v>16</v>
      </c>
      <c r="B44" s="3" t="s">
        <v>19</v>
      </c>
      <c r="C44" s="8" t="n">
        <f aca="false">ROUND(3958.8*5280*ACOS(MIN(1,MAX(-1,SIN(RADIANS(Locations!$B14))*SIN(RADIANS(Locations!$B17))+COS(RADIANS(Locations!$B14))*COS(RADIANS(Locations!$B17))*COS(RADIANS(Locations!$C17-Locations!$C14))))),0)</f>
        <v>1319</v>
      </c>
      <c r="D44" s="9" t="n">
        <f aca="false">C44/5280</f>
        <v>0.249810606060606</v>
      </c>
    </row>
    <row r="45" customFormat="false" ht="15" hidden="false" customHeight="false" outlineLevel="0" collapsed="false">
      <c r="A45" s="3" t="s">
        <v>16</v>
      </c>
      <c r="B45" s="3" t="s">
        <v>18</v>
      </c>
      <c r="C45" s="8" t="n">
        <f aca="false">ROUND(3958.8*5280*ACOS(MIN(1,MAX(-1,SIN(RADIANS(Locations!$B14))*SIN(RADIANS(Locations!$B16))+COS(RADIANS(Locations!$B14))*COS(RADIANS(Locations!$B16))*COS(RADIANS(Locations!$C16-Locations!$C14))))),0)</f>
        <v>1333</v>
      </c>
      <c r="D45" s="9" t="n">
        <f aca="false">C45/5280</f>
        <v>0.252462121212121</v>
      </c>
    </row>
    <row r="46" customFormat="false" ht="15" hidden="false" customHeight="false" outlineLevel="0" collapsed="false">
      <c r="A46" s="3" t="s">
        <v>12</v>
      </c>
      <c r="B46" s="3" t="s">
        <v>15</v>
      </c>
      <c r="C46" s="8" t="n">
        <f aca="false">ROUND(3958.8*5280*ACOS(MIN(1,MAX(-1,SIN(RADIANS(Locations!$B10))*SIN(RADIANS(Locations!$B13))+COS(RADIANS(Locations!$B10))*COS(RADIANS(Locations!$B13))*COS(RADIANS(Locations!$C13-Locations!$C10))))),0)</f>
        <v>1381</v>
      </c>
      <c r="D46" s="9" t="n">
        <f aca="false">C46/5280</f>
        <v>0.26155303030303</v>
      </c>
    </row>
    <row r="47" customFormat="false" ht="15" hidden="false" customHeight="false" outlineLevel="0" collapsed="false">
      <c r="A47" s="3" t="s">
        <v>19</v>
      </c>
      <c r="B47" s="3" t="s">
        <v>20</v>
      </c>
      <c r="C47" s="8" t="n">
        <f aca="false">ROUND(3958.8*5280*ACOS(MIN(1,MAX(-1,SIN(RADIANS(Locations!$B17))*SIN(RADIANS(Locations!$B18))+COS(RADIANS(Locations!$B17))*COS(RADIANS(Locations!$B18))*COS(RADIANS(Locations!$C18-Locations!$C17))))),0)</f>
        <v>1442</v>
      </c>
      <c r="D47" s="9" t="n">
        <f aca="false">C47/5280</f>
        <v>0.273106060606061</v>
      </c>
    </row>
    <row r="48" customFormat="false" ht="15" hidden="false" customHeight="false" outlineLevel="0" collapsed="false">
      <c r="A48" s="3" t="s">
        <v>19</v>
      </c>
      <c r="B48" s="3" t="s">
        <v>22</v>
      </c>
      <c r="C48" s="8" t="n">
        <f aca="false">ROUND(3958.8*5280*ACOS(MIN(1,MAX(-1,SIN(RADIANS(Locations!$B17))*SIN(RADIANS(Locations!$B20))+COS(RADIANS(Locations!$B17))*COS(RADIANS(Locations!$B20))*COS(RADIANS(Locations!$C20-Locations!$C17))))),0)</f>
        <v>1444</v>
      </c>
      <c r="D48" s="9" t="n">
        <f aca="false">C48/5280</f>
        <v>0.273484848484849</v>
      </c>
    </row>
    <row r="49" customFormat="false" ht="15" hidden="false" customHeight="false" outlineLevel="0" collapsed="false">
      <c r="A49" s="3" t="s">
        <v>10</v>
      </c>
      <c r="B49" s="3" t="s">
        <v>14</v>
      </c>
      <c r="C49" s="8" t="n">
        <f aca="false">ROUND(3958.8*5280*ACOS(MIN(1,MAX(-1,SIN(RADIANS(Locations!$B8))*SIN(RADIANS(Locations!$B12))+COS(RADIANS(Locations!$B8))*COS(RADIANS(Locations!$B12))*COS(RADIANS(Locations!$C12-Locations!$C8))))),0)</f>
        <v>1486</v>
      </c>
      <c r="D49" s="9" t="n">
        <f aca="false">C49/5280</f>
        <v>0.281439393939394</v>
      </c>
    </row>
    <row r="50" customFormat="false" ht="15" hidden="false" customHeight="false" outlineLevel="0" collapsed="false">
      <c r="A50" s="3" t="s">
        <v>6</v>
      </c>
      <c r="B50" s="3" t="s">
        <v>9</v>
      </c>
      <c r="C50" s="8" t="n">
        <f aca="false">ROUND(3958.8*5280*ACOS(MIN(1,MAX(-1,SIN(RADIANS(Locations!$B4))*SIN(RADIANS(Locations!$B7))+COS(RADIANS(Locations!$B4))*COS(RADIANS(Locations!$B7))*COS(RADIANS(Locations!$C7-Locations!$C4))))),0)</f>
        <v>1491</v>
      </c>
      <c r="D50" s="9" t="n">
        <f aca="false">C50/5280</f>
        <v>0.282386363636364</v>
      </c>
    </row>
    <row r="51" customFormat="false" ht="15" hidden="false" customHeight="false" outlineLevel="0" collapsed="false">
      <c r="A51" s="3" t="s">
        <v>15</v>
      </c>
      <c r="B51" s="3" t="s">
        <v>19</v>
      </c>
      <c r="C51" s="8" t="n">
        <f aca="false">ROUND(3958.8*5280*ACOS(MIN(1,MAX(-1,SIN(RADIANS(Locations!$B13))*SIN(RADIANS(Locations!$B17))+COS(RADIANS(Locations!$B13))*COS(RADIANS(Locations!$B17))*COS(RADIANS(Locations!$C17-Locations!$C13))))),0)</f>
        <v>1507</v>
      </c>
      <c r="D51" s="9" t="n">
        <f aca="false">C51/5280</f>
        <v>0.285416666666667</v>
      </c>
    </row>
    <row r="52" customFormat="false" ht="15" hidden="false" customHeight="false" outlineLevel="0" collapsed="false">
      <c r="A52" s="3" t="s">
        <v>17</v>
      </c>
      <c r="B52" s="3" t="s">
        <v>22</v>
      </c>
      <c r="C52" s="8" t="n">
        <f aca="false">ROUND(3958.8*5280*ACOS(MIN(1,MAX(-1,SIN(RADIANS(Locations!$B15))*SIN(RADIANS(Locations!$B20))+COS(RADIANS(Locations!$B15))*COS(RADIANS(Locations!$B20))*COS(RADIANS(Locations!$C20-Locations!$C15))))),0)</f>
        <v>1512</v>
      </c>
      <c r="D52" s="9" t="n">
        <f aca="false">C52/5280</f>
        <v>0.286363636363636</v>
      </c>
    </row>
    <row r="53" customFormat="false" ht="15" hidden="false" customHeight="false" outlineLevel="0" collapsed="false">
      <c r="A53" s="3" t="s">
        <v>15</v>
      </c>
      <c r="B53" s="3" t="s">
        <v>16</v>
      </c>
      <c r="C53" s="8" t="n">
        <f aca="false">ROUND(3958.8*5280*ACOS(MIN(1,MAX(-1,SIN(RADIANS(Locations!$B13))*SIN(RADIANS(Locations!$B14))+COS(RADIANS(Locations!$B13))*COS(RADIANS(Locations!$B14))*COS(RADIANS(Locations!$C14-Locations!$C13))))),0)</f>
        <v>1526</v>
      </c>
      <c r="D53" s="9" t="n">
        <f aca="false">C53/5280</f>
        <v>0.289015151515152</v>
      </c>
    </row>
    <row r="54" customFormat="false" ht="15" hidden="false" customHeight="false" outlineLevel="0" collapsed="false">
      <c r="A54" s="3" t="s">
        <v>7</v>
      </c>
      <c r="B54" s="3" t="s">
        <v>9</v>
      </c>
      <c r="C54" s="8" t="n">
        <f aca="false">ROUND(3958.8*5280*ACOS(MIN(1,MAX(-1,SIN(RADIANS(Locations!$B5))*SIN(RADIANS(Locations!$B7))+COS(RADIANS(Locations!$B5))*COS(RADIANS(Locations!$B7))*COS(RADIANS(Locations!$C7-Locations!$C5))))),0)</f>
        <v>1554</v>
      </c>
      <c r="D54" s="9" t="n">
        <f aca="false">C54/5280</f>
        <v>0.294318181818182</v>
      </c>
    </row>
    <row r="55" customFormat="false" ht="15" hidden="false" customHeight="false" outlineLevel="0" collapsed="false">
      <c r="A55" s="3" t="s">
        <v>9</v>
      </c>
      <c r="B55" s="3" t="s">
        <v>15</v>
      </c>
      <c r="C55" s="8" t="n">
        <f aca="false">ROUND(3958.8*5280*ACOS(MIN(1,MAX(-1,SIN(RADIANS(Locations!$B7))*SIN(RADIANS(Locations!$B13))+COS(RADIANS(Locations!$B7))*COS(RADIANS(Locations!$B13))*COS(RADIANS(Locations!$C13-Locations!$C7))))),0)</f>
        <v>1558</v>
      </c>
      <c r="D55" s="9" t="n">
        <f aca="false">C55/5280</f>
        <v>0.295075757575758</v>
      </c>
    </row>
    <row r="56" customFormat="false" ht="15" hidden="false" customHeight="false" outlineLevel="0" collapsed="false">
      <c r="A56" s="3" t="s">
        <v>7</v>
      </c>
      <c r="B56" s="3" t="s">
        <v>10</v>
      </c>
      <c r="C56" s="8" t="n">
        <f aca="false">ROUND(3958.8*5280*ACOS(MIN(1,MAX(-1,SIN(RADIANS(Locations!$B5))*SIN(RADIANS(Locations!$B8))+COS(RADIANS(Locations!$B5))*COS(RADIANS(Locations!$B8))*COS(RADIANS(Locations!$C8-Locations!$C5))))),0)</f>
        <v>1601</v>
      </c>
      <c r="D56" s="9" t="n">
        <f aca="false">C56/5280</f>
        <v>0.303219696969697</v>
      </c>
    </row>
    <row r="57" customFormat="false" ht="15" hidden="false" customHeight="false" outlineLevel="0" collapsed="false">
      <c r="A57" s="3" t="s">
        <v>6</v>
      </c>
      <c r="B57" s="3" t="s">
        <v>11</v>
      </c>
      <c r="C57" s="8" t="n">
        <f aca="false">ROUND(3958.8*5280*ACOS(MIN(1,MAX(-1,SIN(RADIANS(Locations!$B4))*SIN(RADIANS(Locations!$B9))+COS(RADIANS(Locations!$B4))*COS(RADIANS(Locations!$B9))*COS(RADIANS(Locations!$C9-Locations!$C4))))),0)</f>
        <v>1606</v>
      </c>
      <c r="D57" s="9" t="n">
        <f aca="false">C57/5280</f>
        <v>0.304166666666667</v>
      </c>
    </row>
    <row r="58" customFormat="false" ht="15" hidden="false" customHeight="false" outlineLevel="0" collapsed="false">
      <c r="A58" s="3" t="s">
        <v>16</v>
      </c>
      <c r="B58" s="3" t="s">
        <v>22</v>
      </c>
      <c r="C58" s="8" t="n">
        <f aca="false">ROUND(3958.8*5280*ACOS(MIN(1,MAX(-1,SIN(RADIANS(Locations!$B14))*SIN(RADIANS(Locations!$B20))+COS(RADIANS(Locations!$B14))*COS(RADIANS(Locations!$B20))*COS(RADIANS(Locations!$C20-Locations!$C14))))),0)</f>
        <v>1656</v>
      </c>
      <c r="D58" s="9" t="n">
        <f aca="false">C58/5280</f>
        <v>0.313636363636364</v>
      </c>
    </row>
    <row r="59" customFormat="false" ht="15" hidden="false" customHeight="false" outlineLevel="0" collapsed="false">
      <c r="A59" s="3" t="s">
        <v>9</v>
      </c>
      <c r="B59" s="3" t="s">
        <v>14</v>
      </c>
      <c r="C59" s="8" t="n">
        <f aca="false">ROUND(3958.8*5280*ACOS(MIN(1,MAX(-1,SIN(RADIANS(Locations!$B7))*SIN(RADIANS(Locations!$B12))+COS(RADIANS(Locations!$B7))*COS(RADIANS(Locations!$B12))*COS(RADIANS(Locations!$C12-Locations!$C7))))),0)</f>
        <v>1657</v>
      </c>
      <c r="D59" s="9" t="n">
        <f aca="false">C59/5280</f>
        <v>0.313825757575758</v>
      </c>
    </row>
    <row r="60" customFormat="false" ht="15" hidden="false" customHeight="false" outlineLevel="0" collapsed="false">
      <c r="A60" s="3" t="s">
        <v>14</v>
      </c>
      <c r="B60" s="3" t="s">
        <v>15</v>
      </c>
      <c r="C60" s="8" t="n">
        <f aca="false">ROUND(3958.8*5280*ACOS(MIN(1,MAX(-1,SIN(RADIANS(Locations!$B12))*SIN(RADIANS(Locations!$B13))+COS(RADIANS(Locations!$B12))*COS(RADIANS(Locations!$B13))*COS(RADIANS(Locations!$C13-Locations!$C12))))),0)</f>
        <v>1666</v>
      </c>
      <c r="D60" s="9" t="n">
        <f aca="false">C60/5280</f>
        <v>0.315530303030303</v>
      </c>
    </row>
    <row r="61" customFormat="false" ht="15" hidden="false" customHeight="false" outlineLevel="0" collapsed="false">
      <c r="A61" s="3" t="s">
        <v>6</v>
      </c>
      <c r="B61" s="3" t="s">
        <v>10</v>
      </c>
      <c r="C61" s="8" t="n">
        <f aca="false">ROUND(3958.8*5280*ACOS(MIN(1,MAX(-1,SIN(RADIANS(Locations!$B4))*SIN(RADIANS(Locations!$B8))+COS(RADIANS(Locations!$B4))*COS(RADIANS(Locations!$B8))*COS(RADIANS(Locations!$C8-Locations!$C4))))),0)</f>
        <v>1679</v>
      </c>
      <c r="D61" s="9" t="n">
        <f aca="false">C61/5280</f>
        <v>0.317992424242424</v>
      </c>
    </row>
    <row r="62" customFormat="false" ht="15" hidden="false" customHeight="false" outlineLevel="0" collapsed="false">
      <c r="A62" s="3" t="s">
        <v>17</v>
      </c>
      <c r="B62" s="3" t="s">
        <v>20</v>
      </c>
      <c r="C62" s="8" t="n">
        <f aca="false">ROUND(3958.8*5280*ACOS(MIN(1,MAX(-1,SIN(RADIANS(Locations!$B15))*SIN(RADIANS(Locations!$B18))+COS(RADIANS(Locations!$B15))*COS(RADIANS(Locations!$B18))*COS(RADIANS(Locations!$C18-Locations!$C15))))),0)</f>
        <v>1690</v>
      </c>
      <c r="D62" s="9" t="n">
        <f aca="false">C62/5280</f>
        <v>0.320075757575758</v>
      </c>
    </row>
    <row r="63" customFormat="false" ht="15" hidden="false" customHeight="false" outlineLevel="0" collapsed="false">
      <c r="A63" s="3" t="s">
        <v>18</v>
      </c>
      <c r="B63" s="3" t="s">
        <v>22</v>
      </c>
      <c r="C63" s="8" t="n">
        <f aca="false">ROUND(3958.8*5280*ACOS(MIN(1,MAX(-1,SIN(RADIANS(Locations!$B16))*SIN(RADIANS(Locations!$B20))+COS(RADIANS(Locations!$B16))*COS(RADIANS(Locations!$B20))*COS(RADIANS(Locations!$C20-Locations!$C16))))),0)</f>
        <v>1730</v>
      </c>
      <c r="D63" s="9" t="n">
        <f aca="false">C63/5280</f>
        <v>0.327651515151515</v>
      </c>
    </row>
    <row r="64" customFormat="false" ht="15" hidden="false" customHeight="false" outlineLevel="0" collapsed="false">
      <c r="A64" s="3" t="s">
        <v>18</v>
      </c>
      <c r="B64" s="3" t="s">
        <v>20</v>
      </c>
      <c r="C64" s="8" t="n">
        <f aca="false">ROUND(3958.8*5280*ACOS(MIN(1,MAX(-1,SIN(RADIANS(Locations!$B16))*SIN(RADIANS(Locations!$B18))+COS(RADIANS(Locations!$B16))*COS(RADIANS(Locations!$B18))*COS(RADIANS(Locations!$C18-Locations!$C16))))),0)</f>
        <v>1738</v>
      </c>
      <c r="D64" s="9" t="n">
        <f aca="false">C64/5280</f>
        <v>0.329166666666667</v>
      </c>
    </row>
    <row r="65" customFormat="false" ht="15" hidden="false" customHeight="false" outlineLevel="0" collapsed="false">
      <c r="A65" s="3" t="s">
        <v>19</v>
      </c>
      <c r="B65" s="3" t="s">
        <v>21</v>
      </c>
      <c r="C65" s="8" t="n">
        <f aca="false">ROUND(3958.8*5280*ACOS(MIN(1,MAX(-1,SIN(RADIANS(Locations!$B17))*SIN(RADIANS(Locations!$B19))+COS(RADIANS(Locations!$B17))*COS(RADIANS(Locations!$B19))*COS(RADIANS(Locations!$C19-Locations!$C17))))),0)</f>
        <v>1852</v>
      </c>
      <c r="D65" s="9" t="n">
        <f aca="false">C65/5280</f>
        <v>0.350757575757576</v>
      </c>
    </row>
    <row r="66" customFormat="false" ht="15" hidden="false" customHeight="false" outlineLevel="0" collapsed="false">
      <c r="A66" s="3" t="s">
        <v>11</v>
      </c>
      <c r="B66" s="3" t="s">
        <v>18</v>
      </c>
      <c r="C66" s="8" t="n">
        <f aca="false">ROUND(3958.8*5280*ACOS(MIN(1,MAX(-1,SIN(RADIANS(Locations!$B9))*SIN(RADIANS(Locations!$B16))+COS(RADIANS(Locations!$B9))*COS(RADIANS(Locations!$B16))*COS(RADIANS(Locations!$C16-Locations!$C9))))),0)</f>
        <v>1914</v>
      </c>
      <c r="D66" s="9" t="n">
        <f aca="false">C66/5280</f>
        <v>0.3625</v>
      </c>
    </row>
    <row r="67" customFormat="false" ht="15" hidden="false" customHeight="false" outlineLevel="0" collapsed="false">
      <c r="A67" s="3" t="s">
        <v>8</v>
      </c>
      <c r="B67" s="3" t="s">
        <v>15</v>
      </c>
      <c r="C67" s="8" t="n">
        <f aca="false">ROUND(3958.8*5280*ACOS(MIN(1,MAX(-1,SIN(RADIANS(Locations!$B6))*SIN(RADIANS(Locations!$B13))+COS(RADIANS(Locations!$B6))*COS(RADIANS(Locations!$B13))*COS(RADIANS(Locations!$C13-Locations!$C6))))),0)</f>
        <v>1950</v>
      </c>
      <c r="D67" s="9" t="n">
        <f aca="false">C67/5280</f>
        <v>0.369318181818182</v>
      </c>
    </row>
    <row r="68" customFormat="false" ht="15" hidden="false" customHeight="false" outlineLevel="0" collapsed="false">
      <c r="A68" s="3" t="s">
        <v>17</v>
      </c>
      <c r="B68" s="3" t="s">
        <v>21</v>
      </c>
      <c r="C68" s="8" t="n">
        <f aca="false">ROUND(3958.8*5280*ACOS(MIN(1,MAX(-1,SIN(RADIANS(Locations!$B15))*SIN(RADIANS(Locations!$B19))+COS(RADIANS(Locations!$B15))*COS(RADIANS(Locations!$B19))*COS(RADIANS(Locations!$C19-Locations!$C15))))),0)</f>
        <v>1974</v>
      </c>
      <c r="D68" s="9" t="n">
        <f aca="false">C68/5280</f>
        <v>0.373863636363636</v>
      </c>
    </row>
    <row r="69" customFormat="false" ht="15" hidden="false" customHeight="false" outlineLevel="0" collapsed="false">
      <c r="A69" s="3" t="s">
        <v>5</v>
      </c>
      <c r="B69" s="3" t="s">
        <v>15</v>
      </c>
      <c r="C69" s="8" t="n">
        <f aca="false">ROUND(3958.8*5280*ACOS(MIN(1,MAX(-1,SIN(RADIANS(Locations!$B3))*SIN(RADIANS(Locations!$B13))+COS(RADIANS(Locations!$B3))*COS(RADIANS(Locations!$B13))*COS(RADIANS(Locations!$C13-Locations!$C3))))),0)</f>
        <v>1975</v>
      </c>
      <c r="D69" s="9" t="n">
        <f aca="false">C69/5280</f>
        <v>0.37405303030303</v>
      </c>
    </row>
    <row r="70" customFormat="false" ht="15" hidden="false" customHeight="false" outlineLevel="0" collapsed="false">
      <c r="A70" s="3" t="s">
        <v>7</v>
      </c>
      <c r="B70" s="3" t="s">
        <v>15</v>
      </c>
      <c r="C70" s="8" t="n">
        <f aca="false">ROUND(3958.8*5280*ACOS(MIN(1,MAX(-1,SIN(RADIANS(Locations!$B5))*SIN(RADIANS(Locations!$B13))+COS(RADIANS(Locations!$B5))*COS(RADIANS(Locations!$B13))*COS(RADIANS(Locations!$C13-Locations!$C5))))),0)</f>
        <v>1986</v>
      </c>
      <c r="D70" s="9" t="n">
        <f aca="false">C70/5280</f>
        <v>0.376136363636364</v>
      </c>
    </row>
    <row r="71" customFormat="false" ht="15" hidden="false" customHeight="false" outlineLevel="0" collapsed="false">
      <c r="A71" s="3" t="s">
        <v>4</v>
      </c>
      <c r="B71" s="3" t="s">
        <v>15</v>
      </c>
      <c r="C71" s="8" t="n">
        <f aca="false">ROUND(3958.8*5280*ACOS(MIN(1,MAX(-1,SIN(RADIANS(Locations!$B2))*SIN(RADIANS(Locations!$B13))+COS(RADIANS(Locations!$B2))*COS(RADIANS(Locations!$B13))*COS(RADIANS(Locations!$C13-Locations!$C2))))),0)</f>
        <v>2022</v>
      </c>
      <c r="D71" s="9" t="n">
        <f aca="false">C71/5280</f>
        <v>0.382954545454545</v>
      </c>
    </row>
    <row r="72" customFormat="false" ht="15" hidden="false" customHeight="false" outlineLevel="0" collapsed="false">
      <c r="A72" s="3" t="s">
        <v>6</v>
      </c>
      <c r="B72" s="3" t="s">
        <v>13</v>
      </c>
      <c r="C72" s="8" t="n">
        <f aca="false">ROUND(3958.8*5280*ACOS(MIN(1,MAX(-1,SIN(RADIANS(Locations!$B4))*SIN(RADIANS(Locations!$B11))+COS(RADIANS(Locations!$B4))*COS(RADIANS(Locations!$B11))*COS(RADIANS(Locations!$C11-Locations!$C4))))),0)</f>
        <v>2041</v>
      </c>
      <c r="D72" s="9" t="n">
        <f aca="false">C72/5280</f>
        <v>0.38655303030303</v>
      </c>
    </row>
    <row r="73" customFormat="false" ht="15" hidden="false" customHeight="false" outlineLevel="0" collapsed="false">
      <c r="A73" s="3" t="s">
        <v>8</v>
      </c>
      <c r="B73" s="3" t="s">
        <v>13</v>
      </c>
      <c r="C73" s="8" t="n">
        <f aca="false">ROUND(3958.8*5280*ACOS(MIN(1,MAX(-1,SIN(RADIANS(Locations!$B6))*SIN(RADIANS(Locations!$B11))+COS(RADIANS(Locations!$B6))*COS(RADIANS(Locations!$B11))*COS(RADIANS(Locations!$C11-Locations!$C6))))),0)</f>
        <v>2097</v>
      </c>
      <c r="D73" s="9" t="n">
        <f aca="false">C73/5280</f>
        <v>0.397159090909091</v>
      </c>
    </row>
    <row r="74" customFormat="false" ht="15" hidden="false" customHeight="false" outlineLevel="0" collapsed="false">
      <c r="A74" s="3" t="s">
        <v>11</v>
      </c>
      <c r="B74" s="3" t="s">
        <v>17</v>
      </c>
      <c r="C74" s="8" t="n">
        <f aca="false">ROUND(3958.8*5280*ACOS(MIN(1,MAX(-1,SIN(RADIANS(Locations!$B9))*SIN(RADIANS(Locations!$B15))+COS(RADIANS(Locations!$B9))*COS(RADIANS(Locations!$B15))*COS(RADIANS(Locations!$C15-Locations!$C9))))),0)</f>
        <v>2100</v>
      </c>
      <c r="D74" s="9" t="n">
        <f aca="false">C74/5280</f>
        <v>0.397727272727273</v>
      </c>
    </row>
    <row r="75" customFormat="false" ht="15" hidden="false" customHeight="false" outlineLevel="0" collapsed="false">
      <c r="A75" s="3" t="s">
        <v>14</v>
      </c>
      <c r="B75" s="3" t="s">
        <v>16</v>
      </c>
      <c r="C75" s="8" t="n">
        <f aca="false">ROUND(3958.8*5280*ACOS(MIN(1,MAX(-1,SIN(RADIANS(Locations!$B12))*SIN(RADIANS(Locations!$B14))+COS(RADIANS(Locations!$B12))*COS(RADIANS(Locations!$B14))*COS(RADIANS(Locations!$C14-Locations!$C12))))),0)</f>
        <v>2110</v>
      </c>
      <c r="D75" s="9" t="n">
        <f aca="false">C75/5280</f>
        <v>0.399621212121212</v>
      </c>
    </row>
    <row r="76" customFormat="false" ht="15" hidden="false" customHeight="false" outlineLevel="0" collapsed="false">
      <c r="A76" s="3" t="s">
        <v>11</v>
      </c>
      <c r="B76" s="3" t="s">
        <v>14</v>
      </c>
      <c r="C76" s="8" t="n">
        <f aca="false">ROUND(3958.8*5280*ACOS(MIN(1,MAX(-1,SIN(RADIANS(Locations!$B9))*SIN(RADIANS(Locations!$B12))+COS(RADIANS(Locations!$B9))*COS(RADIANS(Locations!$B12))*COS(RADIANS(Locations!$C12-Locations!$C9))))),0)</f>
        <v>2118</v>
      </c>
      <c r="D76" s="9" t="n">
        <f aca="false">C76/5280</f>
        <v>0.401136363636364</v>
      </c>
    </row>
    <row r="77" customFormat="false" ht="15" hidden="false" customHeight="false" outlineLevel="0" collapsed="false">
      <c r="A77" s="3" t="s">
        <v>18</v>
      </c>
      <c r="B77" s="3" t="s">
        <v>21</v>
      </c>
      <c r="C77" s="8" t="n">
        <f aca="false">ROUND(3958.8*5280*ACOS(MIN(1,MAX(-1,SIN(RADIANS(Locations!$B16))*SIN(RADIANS(Locations!$B19))+COS(RADIANS(Locations!$B16))*COS(RADIANS(Locations!$B19))*COS(RADIANS(Locations!$C19-Locations!$C16))))),0)</f>
        <v>2150</v>
      </c>
      <c r="D77" s="9" t="n">
        <f aca="false">C77/5280</f>
        <v>0.40719696969697</v>
      </c>
    </row>
    <row r="78" customFormat="false" ht="15" hidden="false" customHeight="false" outlineLevel="0" collapsed="false">
      <c r="A78" s="3" t="s">
        <v>16</v>
      </c>
      <c r="B78" s="3" t="s">
        <v>21</v>
      </c>
      <c r="C78" s="8" t="n">
        <f aca="false">ROUND(3958.8*5280*ACOS(MIN(1,MAX(-1,SIN(RADIANS(Locations!$B14))*SIN(RADIANS(Locations!$B19))+COS(RADIANS(Locations!$B14))*COS(RADIANS(Locations!$B19))*COS(RADIANS(Locations!$C19-Locations!$C14))))),0)</f>
        <v>2158</v>
      </c>
      <c r="D78" s="9" t="n">
        <f aca="false">C78/5280</f>
        <v>0.408712121212121</v>
      </c>
    </row>
    <row r="79" customFormat="false" ht="15" hidden="false" customHeight="false" outlineLevel="0" collapsed="false">
      <c r="A79" s="3" t="s">
        <v>4</v>
      </c>
      <c r="B79" s="3" t="s">
        <v>13</v>
      </c>
      <c r="C79" s="8" t="n">
        <f aca="false">ROUND(3958.8*5280*ACOS(MIN(1,MAX(-1,SIN(RADIANS(Locations!$B2))*SIN(RADIANS(Locations!$B11))+COS(RADIANS(Locations!$B2))*COS(RADIANS(Locations!$B11))*COS(RADIANS(Locations!$C11-Locations!$C2))))),0)</f>
        <v>2177</v>
      </c>
      <c r="D79" s="9" t="n">
        <f aca="false">C79/5280</f>
        <v>0.412310606060606</v>
      </c>
    </row>
    <row r="80" customFormat="false" ht="15" hidden="false" customHeight="false" outlineLevel="0" collapsed="false">
      <c r="A80" s="3" t="s">
        <v>11</v>
      </c>
      <c r="B80" s="3" t="s">
        <v>19</v>
      </c>
      <c r="C80" s="8" t="n">
        <f aca="false">ROUND(3958.8*5280*ACOS(MIN(1,MAX(-1,SIN(RADIANS(Locations!$B9))*SIN(RADIANS(Locations!$B17))+COS(RADIANS(Locations!$B9))*COS(RADIANS(Locations!$B17))*COS(RADIANS(Locations!$C17-Locations!$C9))))),0)</f>
        <v>2216</v>
      </c>
      <c r="D80" s="9" t="n">
        <f aca="false">C80/5280</f>
        <v>0.41969696969697</v>
      </c>
    </row>
    <row r="81" customFormat="false" ht="15" hidden="false" customHeight="false" outlineLevel="0" collapsed="false">
      <c r="A81" s="3" t="s">
        <v>16</v>
      </c>
      <c r="B81" s="3" t="s">
        <v>20</v>
      </c>
      <c r="C81" s="8" t="n">
        <f aca="false">ROUND(3958.8*5280*ACOS(MIN(1,MAX(-1,SIN(RADIANS(Locations!$B14))*SIN(RADIANS(Locations!$B18))+COS(RADIANS(Locations!$B14))*COS(RADIANS(Locations!$B18))*COS(RADIANS(Locations!$C18-Locations!$C14))))),0)</f>
        <v>2220</v>
      </c>
      <c r="D81" s="9" t="n">
        <f aca="false">C81/5280</f>
        <v>0.420454545454545</v>
      </c>
    </row>
    <row r="82" customFormat="false" ht="15" hidden="false" customHeight="false" outlineLevel="0" collapsed="false">
      <c r="A82" s="3" t="s">
        <v>12</v>
      </c>
      <c r="B82" s="3" t="s">
        <v>14</v>
      </c>
      <c r="C82" s="8" t="n">
        <f aca="false">ROUND(3958.8*5280*ACOS(MIN(1,MAX(-1,SIN(RADIANS(Locations!$B10))*SIN(RADIANS(Locations!$B12))+COS(RADIANS(Locations!$B10))*COS(RADIANS(Locations!$B12))*COS(RADIANS(Locations!$C12-Locations!$C10))))),0)</f>
        <v>2293</v>
      </c>
      <c r="D82" s="9" t="n">
        <f aca="false">C82/5280</f>
        <v>0.434280303030303</v>
      </c>
    </row>
    <row r="83" customFormat="false" ht="15" hidden="false" customHeight="false" outlineLevel="0" collapsed="false">
      <c r="A83" s="3" t="s">
        <v>12</v>
      </c>
      <c r="B83" s="3" t="s">
        <v>18</v>
      </c>
      <c r="C83" s="8" t="n">
        <f aca="false">ROUND(3958.8*5280*ACOS(MIN(1,MAX(-1,SIN(RADIANS(Locations!$B10))*SIN(RADIANS(Locations!$B16))+COS(RADIANS(Locations!$B10))*COS(RADIANS(Locations!$B16))*COS(RADIANS(Locations!$C16-Locations!$C10))))),0)</f>
        <v>2302</v>
      </c>
      <c r="D83" s="9" t="n">
        <f aca="false">C83/5280</f>
        <v>0.435984848484849</v>
      </c>
    </row>
    <row r="84" customFormat="false" ht="15" hidden="false" customHeight="false" outlineLevel="0" collapsed="false">
      <c r="A84" s="3" t="s">
        <v>9</v>
      </c>
      <c r="B84" s="3" t="s">
        <v>13</v>
      </c>
      <c r="C84" s="8" t="n">
        <f aca="false">ROUND(3958.8*5280*ACOS(MIN(1,MAX(-1,SIN(RADIANS(Locations!$B7))*SIN(RADIANS(Locations!$B11))+COS(RADIANS(Locations!$B7))*COS(RADIANS(Locations!$B11))*COS(RADIANS(Locations!$C11-Locations!$C7))))),0)</f>
        <v>2304</v>
      </c>
      <c r="D84" s="9" t="n">
        <f aca="false">C84/5280</f>
        <v>0.436363636363636</v>
      </c>
    </row>
    <row r="85" customFormat="false" ht="15" hidden="false" customHeight="false" outlineLevel="0" collapsed="false">
      <c r="A85" s="3" t="s">
        <v>8</v>
      </c>
      <c r="B85" s="3" t="s">
        <v>14</v>
      </c>
      <c r="C85" s="8" t="n">
        <f aca="false">ROUND(3958.8*5280*ACOS(MIN(1,MAX(-1,SIN(RADIANS(Locations!$B6))*SIN(RADIANS(Locations!$B12))+COS(RADIANS(Locations!$B6))*COS(RADIANS(Locations!$B12))*COS(RADIANS(Locations!$C12-Locations!$C6))))),0)</f>
        <v>2384</v>
      </c>
      <c r="D85" s="9" t="n">
        <f aca="false">C85/5280</f>
        <v>0.451515151515152</v>
      </c>
    </row>
    <row r="86" customFormat="false" ht="15" hidden="false" customHeight="false" outlineLevel="0" collapsed="false">
      <c r="A86" s="3" t="s">
        <v>5</v>
      </c>
      <c r="B86" s="3" t="s">
        <v>13</v>
      </c>
      <c r="C86" s="8" t="n">
        <f aca="false">ROUND(3958.8*5280*ACOS(MIN(1,MAX(-1,SIN(RADIANS(Locations!$B3))*SIN(RADIANS(Locations!$B11))+COS(RADIANS(Locations!$B3))*COS(RADIANS(Locations!$B11))*COS(RADIANS(Locations!$C11-Locations!$C3))))),0)</f>
        <v>2478</v>
      </c>
      <c r="D86" s="9" t="n">
        <f aca="false">C86/5280</f>
        <v>0.469318181818182</v>
      </c>
    </row>
    <row r="87" customFormat="false" ht="15" hidden="false" customHeight="false" outlineLevel="0" collapsed="false">
      <c r="A87" s="3" t="s">
        <v>12</v>
      </c>
      <c r="B87" s="3" t="s">
        <v>17</v>
      </c>
      <c r="C87" s="8" t="n">
        <f aca="false">ROUND(3958.8*5280*ACOS(MIN(1,MAX(-1,SIN(RADIANS(Locations!$B10))*SIN(RADIANS(Locations!$B15))+COS(RADIANS(Locations!$B10))*COS(RADIANS(Locations!$B15))*COS(RADIANS(Locations!$C15-Locations!$C10))))),0)</f>
        <v>2498</v>
      </c>
      <c r="D87" s="9" t="n">
        <f aca="false">C87/5280</f>
        <v>0.473106060606061</v>
      </c>
    </row>
    <row r="88" customFormat="false" ht="15" hidden="false" customHeight="false" outlineLevel="0" collapsed="false">
      <c r="A88" s="3" t="s">
        <v>10</v>
      </c>
      <c r="B88" s="3" t="s">
        <v>18</v>
      </c>
      <c r="C88" s="8" t="n">
        <f aca="false">ROUND(3958.8*5280*ACOS(MIN(1,MAX(-1,SIN(RADIANS(Locations!$B8))*SIN(RADIANS(Locations!$B16))+COS(RADIANS(Locations!$B8))*COS(RADIANS(Locations!$B16))*COS(RADIANS(Locations!$C16-Locations!$C8))))),0)</f>
        <v>2505</v>
      </c>
      <c r="D88" s="9" t="n">
        <f aca="false">C88/5280</f>
        <v>0.474431818181818</v>
      </c>
    </row>
    <row r="89" customFormat="false" ht="15" hidden="false" customHeight="false" outlineLevel="0" collapsed="false">
      <c r="A89" s="3" t="s">
        <v>11</v>
      </c>
      <c r="B89" s="3" t="s">
        <v>16</v>
      </c>
      <c r="C89" s="8" t="n">
        <f aca="false">ROUND(3958.8*5280*ACOS(MIN(1,MAX(-1,SIN(RADIANS(Locations!$B9))*SIN(RADIANS(Locations!$B14))+COS(RADIANS(Locations!$B9))*COS(RADIANS(Locations!$B14))*COS(RADIANS(Locations!$C14-Locations!$C9))))),0)</f>
        <v>2520</v>
      </c>
      <c r="D89" s="9" t="n">
        <f aca="false">C89/5280</f>
        <v>0.477272727272727</v>
      </c>
    </row>
    <row r="90" customFormat="false" ht="15" hidden="false" customHeight="false" outlineLevel="0" collapsed="false">
      <c r="A90" s="3" t="s">
        <v>10</v>
      </c>
      <c r="B90" s="3" t="s">
        <v>13</v>
      </c>
      <c r="C90" s="8" t="n">
        <f aca="false">ROUND(3958.8*5280*ACOS(MIN(1,MAX(-1,SIN(RADIANS(Locations!$B8))*SIN(RADIANS(Locations!$B11))+COS(RADIANS(Locations!$B8))*COS(RADIANS(Locations!$B11))*COS(RADIANS(Locations!$C11-Locations!$C8))))),0)</f>
        <v>2563</v>
      </c>
      <c r="D90" s="9" t="n">
        <f aca="false">C90/5280</f>
        <v>0.485416666666667</v>
      </c>
    </row>
    <row r="91" customFormat="false" ht="15" hidden="false" customHeight="false" outlineLevel="0" collapsed="false">
      <c r="A91" s="3" t="s">
        <v>4</v>
      </c>
      <c r="B91" s="3" t="s">
        <v>14</v>
      </c>
      <c r="C91" s="8" t="n">
        <f aca="false">ROUND(3958.8*5280*ACOS(MIN(1,MAX(-1,SIN(RADIANS(Locations!$B2))*SIN(RADIANS(Locations!$B12))+COS(RADIANS(Locations!$B2))*COS(RADIANS(Locations!$B12))*COS(RADIANS(Locations!$C12-Locations!$C2))))),0)</f>
        <v>2577</v>
      </c>
      <c r="D91" s="9" t="n">
        <f aca="false">C91/5280</f>
        <v>0.488068181818182</v>
      </c>
    </row>
    <row r="92" customFormat="false" ht="15" hidden="false" customHeight="false" outlineLevel="0" collapsed="false">
      <c r="A92" s="3" t="s">
        <v>10</v>
      </c>
      <c r="B92" s="3" t="s">
        <v>17</v>
      </c>
      <c r="C92" s="8" t="n">
        <f aca="false">ROUND(3958.8*5280*ACOS(MIN(1,MAX(-1,SIN(RADIANS(Locations!$B8))*SIN(RADIANS(Locations!$B15))+COS(RADIANS(Locations!$B8))*COS(RADIANS(Locations!$B15))*COS(RADIANS(Locations!$C15-Locations!$C8))))),0)</f>
        <v>2578</v>
      </c>
      <c r="D92" s="9" t="n">
        <f aca="false">C92/5280</f>
        <v>0.488257575757576</v>
      </c>
    </row>
    <row r="93" customFormat="false" ht="15" hidden="false" customHeight="false" outlineLevel="0" collapsed="false">
      <c r="A93" s="3" t="s">
        <v>6</v>
      </c>
      <c r="B93" s="3" t="s">
        <v>15</v>
      </c>
      <c r="C93" s="8" t="n">
        <f aca="false">ROUND(3958.8*5280*ACOS(MIN(1,MAX(-1,SIN(RADIANS(Locations!$B4))*SIN(RADIANS(Locations!$B13))+COS(RADIANS(Locations!$B4))*COS(RADIANS(Locations!$B13))*COS(RADIANS(Locations!$C13-Locations!$C4))))),0)</f>
        <v>2581</v>
      </c>
      <c r="D93" s="9" t="n">
        <f aca="false">C93/5280</f>
        <v>0.488825757575758</v>
      </c>
    </row>
    <row r="94" customFormat="false" ht="15" hidden="false" customHeight="false" outlineLevel="0" collapsed="false">
      <c r="A94" s="3" t="s">
        <v>14</v>
      </c>
      <c r="B94" s="3" t="s">
        <v>17</v>
      </c>
      <c r="C94" s="8" t="n">
        <f aca="false">ROUND(3958.8*5280*ACOS(MIN(1,MAX(-1,SIN(RADIANS(Locations!$B12))*SIN(RADIANS(Locations!$B15))+COS(RADIANS(Locations!$B12))*COS(RADIANS(Locations!$B15))*COS(RADIANS(Locations!$C15-Locations!$C12))))),0)</f>
        <v>2581</v>
      </c>
      <c r="D94" s="9" t="n">
        <f aca="false">C94/5280</f>
        <v>0.488825757575758</v>
      </c>
    </row>
    <row r="95" customFormat="false" ht="15" hidden="false" customHeight="false" outlineLevel="0" collapsed="false">
      <c r="A95" s="3" t="s">
        <v>12</v>
      </c>
      <c r="B95" s="3" t="s">
        <v>19</v>
      </c>
      <c r="C95" s="8" t="n">
        <f aca="false">ROUND(3958.8*5280*ACOS(MIN(1,MAX(-1,SIN(RADIANS(Locations!$B10))*SIN(RADIANS(Locations!$B17))+COS(RADIANS(Locations!$B10))*COS(RADIANS(Locations!$B17))*COS(RADIANS(Locations!$C17-Locations!$C10))))),0)</f>
        <v>2603</v>
      </c>
      <c r="D95" s="9" t="n">
        <f aca="false">C95/5280</f>
        <v>0.492992424242424</v>
      </c>
    </row>
    <row r="96" customFormat="false" ht="15" hidden="false" customHeight="false" outlineLevel="0" collapsed="false">
      <c r="A96" s="3" t="s">
        <v>7</v>
      </c>
      <c r="B96" s="3" t="s">
        <v>18</v>
      </c>
      <c r="C96" s="8" t="n">
        <f aca="false">ROUND(3958.8*5280*ACOS(MIN(1,MAX(-1,SIN(RADIANS(Locations!$B5))*SIN(RADIANS(Locations!$B16))+COS(RADIANS(Locations!$B5))*COS(RADIANS(Locations!$B16))*COS(RADIANS(Locations!$C16-Locations!$C5))))),0)</f>
        <v>2651</v>
      </c>
      <c r="D96" s="9" t="n">
        <f aca="false">C96/5280</f>
        <v>0.502083333333333</v>
      </c>
    </row>
    <row r="97" customFormat="false" ht="15" hidden="false" customHeight="false" outlineLevel="0" collapsed="false">
      <c r="A97" s="3" t="s">
        <v>10</v>
      </c>
      <c r="B97" s="3" t="s">
        <v>16</v>
      </c>
      <c r="C97" s="8" t="n">
        <f aca="false">ROUND(3958.8*5280*ACOS(MIN(1,MAX(-1,SIN(RADIANS(Locations!$B8))*SIN(RADIANS(Locations!$B14))+COS(RADIANS(Locations!$B8))*COS(RADIANS(Locations!$B14))*COS(RADIANS(Locations!$C14-Locations!$C8))))),0)</f>
        <v>2672</v>
      </c>
      <c r="D97" s="9" t="n">
        <f aca="false">C97/5280</f>
        <v>0.506060606060606</v>
      </c>
    </row>
    <row r="98" customFormat="false" ht="15" hidden="false" customHeight="false" outlineLevel="0" collapsed="false">
      <c r="A98" s="3" t="s">
        <v>14</v>
      </c>
      <c r="B98" s="3" t="s">
        <v>18</v>
      </c>
      <c r="C98" s="8" t="n">
        <f aca="false">ROUND(3958.8*5280*ACOS(MIN(1,MAX(-1,SIN(RADIANS(Locations!$B12))*SIN(RADIANS(Locations!$B16))+COS(RADIANS(Locations!$B12))*COS(RADIANS(Locations!$B16))*COS(RADIANS(Locations!$C16-Locations!$C12))))),0)</f>
        <v>2719</v>
      </c>
      <c r="D98" s="9" t="n">
        <f aca="false">C98/5280</f>
        <v>0.514962121212121</v>
      </c>
    </row>
    <row r="99" customFormat="false" ht="15" hidden="false" customHeight="false" outlineLevel="0" collapsed="false">
      <c r="A99" s="3" t="s">
        <v>9</v>
      </c>
      <c r="B99" s="3" t="s">
        <v>18</v>
      </c>
      <c r="C99" s="8" t="n">
        <f aca="false">ROUND(3958.8*5280*ACOS(MIN(1,MAX(-1,SIN(RADIANS(Locations!$B7))*SIN(RADIANS(Locations!$B16))+COS(RADIANS(Locations!$B7))*COS(RADIANS(Locations!$B16))*COS(RADIANS(Locations!$C16-Locations!$C7))))),0)</f>
        <v>2742</v>
      </c>
      <c r="D99" s="9" t="n">
        <f aca="false">C99/5280</f>
        <v>0.519318181818182</v>
      </c>
    </row>
    <row r="100" customFormat="false" ht="15" hidden="false" customHeight="false" outlineLevel="0" collapsed="false">
      <c r="A100" s="3" t="s">
        <v>5</v>
      </c>
      <c r="B100" s="3" t="s">
        <v>14</v>
      </c>
      <c r="C100" s="8" t="n">
        <f aca="false">ROUND(3958.8*5280*ACOS(MIN(1,MAX(-1,SIN(RADIANS(Locations!$B3))*SIN(RADIANS(Locations!$B12))+COS(RADIANS(Locations!$B3))*COS(RADIANS(Locations!$B12))*COS(RADIANS(Locations!$C12-Locations!$C3))))),0)</f>
        <v>2752</v>
      </c>
      <c r="D100" s="9" t="n">
        <f aca="false">C100/5280</f>
        <v>0.521212121212121</v>
      </c>
    </row>
    <row r="101" customFormat="false" ht="15" hidden="false" customHeight="false" outlineLevel="0" collapsed="false">
      <c r="A101" s="3" t="s">
        <v>15</v>
      </c>
      <c r="B101" s="3" t="s">
        <v>22</v>
      </c>
      <c r="C101" s="8" t="n">
        <f aca="false">ROUND(3958.8*5280*ACOS(MIN(1,MAX(-1,SIN(RADIANS(Locations!$B13))*SIN(RADIANS(Locations!$B20))+COS(RADIANS(Locations!$B13))*COS(RADIANS(Locations!$B20))*COS(RADIANS(Locations!$C20-Locations!$C13))))),0)</f>
        <v>2759</v>
      </c>
      <c r="D101" s="9" t="n">
        <f aca="false">C101/5280</f>
        <v>0.522537878787879</v>
      </c>
    </row>
    <row r="102" customFormat="false" ht="15" hidden="false" customHeight="false" outlineLevel="0" collapsed="false">
      <c r="A102" s="3" t="s">
        <v>10</v>
      </c>
      <c r="B102" s="3" t="s">
        <v>19</v>
      </c>
      <c r="C102" s="8" t="n">
        <f aca="false">ROUND(3958.8*5280*ACOS(MIN(1,MAX(-1,SIN(RADIANS(Locations!$B8))*SIN(RADIANS(Locations!$B17))+COS(RADIANS(Locations!$B8))*COS(RADIANS(Locations!$B17))*COS(RADIANS(Locations!$C17-Locations!$C8))))),0)</f>
        <v>2795</v>
      </c>
      <c r="D102" s="9" t="n">
        <f aca="false">C102/5280</f>
        <v>0.529356060606061</v>
      </c>
    </row>
    <row r="103" customFormat="false" ht="15" hidden="false" customHeight="false" outlineLevel="0" collapsed="false">
      <c r="A103" s="3" t="s">
        <v>12</v>
      </c>
      <c r="B103" s="3" t="s">
        <v>13</v>
      </c>
      <c r="C103" s="8" t="n">
        <f aca="false">ROUND(3958.8*5280*ACOS(MIN(1,MAX(-1,SIN(RADIANS(Locations!$B10))*SIN(RADIANS(Locations!$B11))+COS(RADIANS(Locations!$B10))*COS(RADIANS(Locations!$B11))*COS(RADIANS(Locations!$C11-Locations!$C10))))),0)</f>
        <v>2808</v>
      </c>
      <c r="D103" s="9" t="n">
        <f aca="false">C103/5280</f>
        <v>0.531818181818182</v>
      </c>
    </row>
    <row r="104" customFormat="false" ht="15" hidden="false" customHeight="false" outlineLevel="0" collapsed="false">
      <c r="A104" s="3" t="s">
        <v>9</v>
      </c>
      <c r="B104" s="3" t="s">
        <v>17</v>
      </c>
      <c r="C104" s="8" t="n">
        <f aca="false">ROUND(3958.8*5280*ACOS(MIN(1,MAX(-1,SIN(RADIANS(Locations!$B7))*SIN(RADIANS(Locations!$B15))+COS(RADIANS(Locations!$B7))*COS(RADIANS(Locations!$B15))*COS(RADIANS(Locations!$C15-Locations!$C7))))),0)</f>
        <v>2829</v>
      </c>
      <c r="D104" s="9" t="n">
        <f aca="false">C104/5280</f>
        <v>0.535795454545455</v>
      </c>
    </row>
    <row r="105" customFormat="false" ht="15" hidden="false" customHeight="false" outlineLevel="0" collapsed="false">
      <c r="A105" s="3" t="s">
        <v>5</v>
      </c>
      <c r="B105" s="3" t="s">
        <v>18</v>
      </c>
      <c r="C105" s="8" t="n">
        <f aca="false">ROUND(3958.8*5280*ACOS(MIN(1,MAX(-1,SIN(RADIANS(Locations!$B3))*SIN(RADIANS(Locations!$B16))+COS(RADIANS(Locations!$B3))*COS(RADIANS(Locations!$B16))*COS(RADIANS(Locations!$C16-Locations!$C3))))),0)</f>
        <v>2838</v>
      </c>
      <c r="D105" s="9" t="n">
        <f aca="false">C105/5280</f>
        <v>0.5375</v>
      </c>
    </row>
    <row r="106" customFormat="false" ht="15" hidden="false" customHeight="false" outlineLevel="0" collapsed="false">
      <c r="A106" s="3" t="s">
        <v>12</v>
      </c>
      <c r="B106" s="3" t="s">
        <v>16</v>
      </c>
      <c r="C106" s="8" t="n">
        <f aca="false">ROUND(3958.8*5280*ACOS(MIN(1,MAX(-1,SIN(RADIANS(Locations!$B10))*SIN(RADIANS(Locations!$B14))+COS(RADIANS(Locations!$B10))*COS(RADIANS(Locations!$B14))*COS(RADIANS(Locations!$C14-Locations!$C10))))),0)</f>
        <v>2907</v>
      </c>
      <c r="D106" s="9" t="n">
        <f aca="false">C106/5280</f>
        <v>0.550568181818182</v>
      </c>
    </row>
    <row r="107" customFormat="false" ht="15" hidden="false" customHeight="false" outlineLevel="0" collapsed="false">
      <c r="A107" s="3" t="s">
        <v>7</v>
      </c>
      <c r="B107" s="3" t="s">
        <v>17</v>
      </c>
      <c r="C107" s="8" t="n">
        <f aca="false">ROUND(3958.8*5280*ACOS(MIN(1,MAX(-1,SIN(RADIANS(Locations!$B5))*SIN(RADIANS(Locations!$B15))+COS(RADIANS(Locations!$B5))*COS(RADIANS(Locations!$B15))*COS(RADIANS(Locations!$C15-Locations!$C5))))),0)</f>
        <v>2917</v>
      </c>
      <c r="D107" s="9" t="n">
        <f aca="false">C107/5280</f>
        <v>0.552462121212121</v>
      </c>
    </row>
    <row r="108" customFormat="false" ht="15" hidden="false" customHeight="false" outlineLevel="0" collapsed="false">
      <c r="A108" s="3" t="s">
        <v>14</v>
      </c>
      <c r="B108" s="3" t="s">
        <v>19</v>
      </c>
      <c r="C108" s="8" t="n">
        <f aca="false">ROUND(3958.8*5280*ACOS(MIN(1,MAX(-1,SIN(RADIANS(Locations!$B12))*SIN(RADIANS(Locations!$B17))+COS(RADIANS(Locations!$B12))*COS(RADIANS(Locations!$B17))*COS(RADIANS(Locations!$C17-Locations!$C12))))),0)</f>
        <v>2923</v>
      </c>
      <c r="D108" s="9" t="n">
        <f aca="false">C108/5280</f>
        <v>0.553598484848485</v>
      </c>
    </row>
    <row r="109" customFormat="false" ht="15" hidden="false" customHeight="false" outlineLevel="0" collapsed="false">
      <c r="A109" s="3" t="s">
        <v>7</v>
      </c>
      <c r="B109" s="3" t="s">
        <v>13</v>
      </c>
      <c r="C109" s="8" t="n">
        <f aca="false">ROUND(3958.8*5280*ACOS(MIN(1,MAX(-1,SIN(RADIANS(Locations!$B5))*SIN(RADIANS(Locations!$B11))+COS(RADIANS(Locations!$B5))*COS(RADIANS(Locations!$B11))*COS(RADIANS(Locations!$C11-Locations!$C5))))),0)</f>
        <v>2932</v>
      </c>
      <c r="D109" s="9" t="n">
        <f aca="false">C109/5280</f>
        <v>0.55530303030303</v>
      </c>
    </row>
    <row r="110" customFormat="false" ht="15" hidden="false" customHeight="false" outlineLevel="0" collapsed="false">
      <c r="A110" s="3" t="s">
        <v>9</v>
      </c>
      <c r="B110" s="3" t="s">
        <v>16</v>
      </c>
      <c r="C110" s="8" t="n">
        <f aca="false">ROUND(3958.8*5280*ACOS(MIN(1,MAX(-1,SIN(RADIANS(Locations!$B7))*SIN(RADIANS(Locations!$B14))+COS(RADIANS(Locations!$B7))*COS(RADIANS(Locations!$B14))*COS(RADIANS(Locations!$C14-Locations!$C7))))),0)</f>
        <v>2936</v>
      </c>
      <c r="D110" s="9" t="n">
        <f aca="false">C110/5280</f>
        <v>0.556060606060606</v>
      </c>
    </row>
    <row r="111" customFormat="false" ht="15" hidden="false" customHeight="false" outlineLevel="0" collapsed="false">
      <c r="A111" s="3" t="s">
        <v>7</v>
      </c>
      <c r="B111" s="3" t="s">
        <v>19</v>
      </c>
      <c r="C111" s="8" t="n">
        <f aca="false">ROUND(3958.8*5280*ACOS(MIN(1,MAX(-1,SIN(RADIANS(Locations!$B5))*SIN(RADIANS(Locations!$B17))+COS(RADIANS(Locations!$B5))*COS(RADIANS(Locations!$B17))*COS(RADIANS(Locations!$C17-Locations!$C5))))),0)</f>
        <v>2938</v>
      </c>
      <c r="D111" s="9" t="n">
        <f aca="false">C111/5280</f>
        <v>0.556439393939394</v>
      </c>
    </row>
    <row r="112" customFormat="false" ht="15" hidden="false" customHeight="false" outlineLevel="0" collapsed="false">
      <c r="A112" s="3" t="s">
        <v>15</v>
      </c>
      <c r="B112" s="3" t="s">
        <v>20</v>
      </c>
      <c r="C112" s="8" t="n">
        <f aca="false">ROUND(3958.8*5280*ACOS(MIN(1,MAX(-1,SIN(RADIANS(Locations!$B13))*SIN(RADIANS(Locations!$B18))+COS(RADIANS(Locations!$B13))*COS(RADIANS(Locations!$B18))*COS(RADIANS(Locations!$C18-Locations!$C13))))),0)</f>
        <v>2942</v>
      </c>
      <c r="D112" s="9" t="n">
        <f aca="false">C112/5280</f>
        <v>0.55719696969697</v>
      </c>
    </row>
    <row r="113" customFormat="false" ht="15" hidden="false" customHeight="false" outlineLevel="0" collapsed="false">
      <c r="A113" s="3" t="s">
        <v>8</v>
      </c>
      <c r="B113" s="3" t="s">
        <v>18</v>
      </c>
      <c r="C113" s="8" t="n">
        <f aca="false">ROUND(3958.8*5280*ACOS(MIN(1,MAX(-1,SIN(RADIANS(Locations!$B6))*SIN(RADIANS(Locations!$B16))+COS(RADIANS(Locations!$B6))*COS(RADIANS(Locations!$B16))*COS(RADIANS(Locations!$C16-Locations!$C6))))),0)</f>
        <v>2986</v>
      </c>
      <c r="D113" s="9" t="n">
        <f aca="false">C113/5280</f>
        <v>0.565530303030303</v>
      </c>
    </row>
    <row r="114" customFormat="false" ht="15" hidden="false" customHeight="false" outlineLevel="0" collapsed="false">
      <c r="A114" s="3" t="s">
        <v>4</v>
      </c>
      <c r="B114" s="3" t="s">
        <v>18</v>
      </c>
      <c r="C114" s="8" t="n">
        <f aca="false">ROUND(3958.8*5280*ACOS(MIN(1,MAX(-1,SIN(RADIANS(Locations!$B2))*SIN(RADIANS(Locations!$B16))+COS(RADIANS(Locations!$B2))*COS(RADIANS(Locations!$B16))*COS(RADIANS(Locations!$C16-Locations!$C2))))),0)</f>
        <v>2996</v>
      </c>
      <c r="D114" s="9" t="n">
        <f aca="false">C114/5280</f>
        <v>0.567424242424242</v>
      </c>
    </row>
    <row r="115" customFormat="false" ht="15" hidden="false" customHeight="false" outlineLevel="0" collapsed="false">
      <c r="A115" s="3" t="s">
        <v>7</v>
      </c>
      <c r="B115" s="3" t="s">
        <v>14</v>
      </c>
      <c r="C115" s="8" t="n">
        <f aca="false">ROUND(3958.8*5280*ACOS(MIN(1,MAX(-1,SIN(RADIANS(Locations!$B5))*SIN(RADIANS(Locations!$B12))+COS(RADIANS(Locations!$B5))*COS(RADIANS(Locations!$B12))*COS(RADIANS(Locations!$C12-Locations!$C5))))),0)</f>
        <v>3033</v>
      </c>
      <c r="D115" s="9" t="n">
        <f aca="false">C115/5280</f>
        <v>0.574431818181818</v>
      </c>
    </row>
    <row r="116" customFormat="false" ht="15" hidden="false" customHeight="false" outlineLevel="0" collapsed="false">
      <c r="A116" s="3" t="s">
        <v>9</v>
      </c>
      <c r="B116" s="3" t="s">
        <v>19</v>
      </c>
      <c r="C116" s="8" t="n">
        <f aca="false">ROUND(3958.8*5280*ACOS(MIN(1,MAX(-1,SIN(RADIANS(Locations!$B7))*SIN(RADIANS(Locations!$B17))+COS(RADIANS(Locations!$B7))*COS(RADIANS(Locations!$B17))*COS(RADIANS(Locations!$C17-Locations!$C7))))),0)</f>
        <v>3035</v>
      </c>
      <c r="D116" s="9" t="n">
        <f aca="false">C116/5280</f>
        <v>0.574810606060606</v>
      </c>
    </row>
    <row r="117" customFormat="false" ht="15" hidden="false" customHeight="false" outlineLevel="0" collapsed="false">
      <c r="A117" s="3" t="s">
        <v>5</v>
      </c>
      <c r="B117" s="3" t="s">
        <v>17</v>
      </c>
      <c r="C117" s="8" t="n">
        <f aca="false">ROUND(3958.8*5280*ACOS(MIN(1,MAX(-1,SIN(RADIANS(Locations!$B3))*SIN(RADIANS(Locations!$B15))+COS(RADIANS(Locations!$B3))*COS(RADIANS(Locations!$B15))*COS(RADIANS(Locations!$C15-Locations!$C3))))),0)</f>
        <v>3060</v>
      </c>
      <c r="D117" s="9" t="n">
        <f aca="false">C117/5280</f>
        <v>0.579545454545455</v>
      </c>
    </row>
    <row r="118" customFormat="false" ht="15" hidden="false" customHeight="false" outlineLevel="0" collapsed="false">
      <c r="A118" s="3" t="s">
        <v>5</v>
      </c>
      <c r="B118" s="3" t="s">
        <v>19</v>
      </c>
      <c r="C118" s="8" t="n">
        <f aca="false">ROUND(3958.8*5280*ACOS(MIN(1,MAX(-1,SIN(RADIANS(Locations!$B3))*SIN(RADIANS(Locations!$B17))+COS(RADIANS(Locations!$B3))*COS(RADIANS(Locations!$B17))*COS(RADIANS(Locations!$C17-Locations!$C3))))),0)</f>
        <v>3136</v>
      </c>
      <c r="D118" s="9" t="n">
        <f aca="false">C118/5280</f>
        <v>0.593939393939394</v>
      </c>
    </row>
    <row r="119" customFormat="false" ht="15" hidden="false" customHeight="false" outlineLevel="0" collapsed="false">
      <c r="A119" s="3" t="s">
        <v>11</v>
      </c>
      <c r="B119" s="3" t="s">
        <v>13</v>
      </c>
      <c r="C119" s="8" t="n">
        <f aca="false">ROUND(3958.8*5280*ACOS(MIN(1,MAX(-1,SIN(RADIANS(Locations!$B9))*SIN(RADIANS(Locations!$B11))+COS(RADIANS(Locations!$B9))*COS(RADIANS(Locations!$B11))*COS(RADIANS(Locations!$C11-Locations!$C9))))),0)</f>
        <v>3143</v>
      </c>
      <c r="D119" s="9" t="n">
        <f aca="false">C119/5280</f>
        <v>0.595265151515152</v>
      </c>
    </row>
    <row r="120" customFormat="false" ht="15" hidden="false" customHeight="false" outlineLevel="0" collapsed="false">
      <c r="A120" s="3" t="s">
        <v>6</v>
      </c>
      <c r="B120" s="3" t="s">
        <v>14</v>
      </c>
      <c r="C120" s="8" t="n">
        <f aca="false">ROUND(3958.8*5280*ACOS(MIN(1,MAX(-1,SIN(RADIANS(Locations!$B4))*SIN(RADIANS(Locations!$B12))+COS(RADIANS(Locations!$B4))*COS(RADIANS(Locations!$B12))*COS(RADIANS(Locations!$C12-Locations!$C4))))),0)</f>
        <v>3147</v>
      </c>
      <c r="D120" s="9" t="n">
        <f aca="false">C120/5280</f>
        <v>0.596022727272727</v>
      </c>
    </row>
    <row r="121" customFormat="false" ht="15" hidden="false" customHeight="false" outlineLevel="0" collapsed="false">
      <c r="A121" s="3" t="s">
        <v>8</v>
      </c>
      <c r="B121" s="3" t="s">
        <v>17</v>
      </c>
      <c r="C121" s="8" t="n">
        <f aca="false">ROUND(3958.8*5280*ACOS(MIN(1,MAX(-1,SIN(RADIANS(Locations!$B6))*SIN(RADIANS(Locations!$B15))+COS(RADIANS(Locations!$B6))*COS(RADIANS(Locations!$B15))*COS(RADIANS(Locations!$C15-Locations!$C6))))),0)</f>
        <v>3153</v>
      </c>
      <c r="D121" s="9" t="n">
        <f aca="false">C121/5280</f>
        <v>0.597159090909091</v>
      </c>
    </row>
    <row r="122" customFormat="false" ht="15" hidden="false" customHeight="false" outlineLevel="0" collapsed="false">
      <c r="A122" s="3" t="s">
        <v>4</v>
      </c>
      <c r="B122" s="3" t="s">
        <v>17</v>
      </c>
      <c r="C122" s="8" t="n">
        <f aca="false">ROUND(3958.8*5280*ACOS(MIN(1,MAX(-1,SIN(RADIANS(Locations!$B2))*SIN(RADIANS(Locations!$B15))+COS(RADIANS(Locations!$B2))*COS(RADIANS(Locations!$B15))*COS(RADIANS(Locations!$C15-Locations!$C2))))),0)</f>
        <v>3186</v>
      </c>
      <c r="D122" s="9" t="n">
        <f aca="false">C122/5280</f>
        <v>0.603409090909091</v>
      </c>
    </row>
    <row r="123" customFormat="false" ht="15" hidden="false" customHeight="false" outlineLevel="0" collapsed="false">
      <c r="A123" s="3" t="s">
        <v>15</v>
      </c>
      <c r="B123" s="3" t="s">
        <v>21</v>
      </c>
      <c r="C123" s="8" t="n">
        <f aca="false">ROUND(3958.8*5280*ACOS(MIN(1,MAX(-1,SIN(RADIANS(Locations!$B13))*SIN(RADIANS(Locations!$B19))+COS(RADIANS(Locations!$B13))*COS(RADIANS(Locations!$B19))*COS(RADIANS(Locations!$C19-Locations!$C13))))),0)</f>
        <v>3238</v>
      </c>
      <c r="D123" s="9" t="n">
        <f aca="false">C123/5280</f>
        <v>0.613257575757576</v>
      </c>
    </row>
    <row r="124" customFormat="false" ht="15" hidden="false" customHeight="false" outlineLevel="0" collapsed="false">
      <c r="A124" s="3" t="s">
        <v>8</v>
      </c>
      <c r="B124" s="3" t="s">
        <v>19</v>
      </c>
      <c r="C124" s="8" t="n">
        <f aca="false">ROUND(3958.8*5280*ACOS(MIN(1,MAX(-1,SIN(RADIANS(Locations!$B6))*SIN(RADIANS(Locations!$B17))+COS(RADIANS(Locations!$B6))*COS(RADIANS(Locations!$B17))*COS(RADIANS(Locations!$C17-Locations!$C6))))),0)</f>
        <v>3287</v>
      </c>
      <c r="D124" s="9" t="n">
        <f aca="false">C124/5280</f>
        <v>0.622537878787879</v>
      </c>
    </row>
    <row r="125" customFormat="false" ht="15" hidden="false" customHeight="false" outlineLevel="0" collapsed="false">
      <c r="A125" s="3" t="s">
        <v>4</v>
      </c>
      <c r="B125" s="3" t="s">
        <v>19</v>
      </c>
      <c r="C125" s="8" t="n">
        <f aca="false">ROUND(3958.8*5280*ACOS(MIN(1,MAX(-1,SIN(RADIANS(Locations!$B2))*SIN(RADIANS(Locations!$B17))+COS(RADIANS(Locations!$B2))*COS(RADIANS(Locations!$B17))*COS(RADIANS(Locations!$C17-Locations!$C2))))),0)</f>
        <v>3297</v>
      </c>
      <c r="D125" s="9" t="n">
        <f aca="false">C125/5280</f>
        <v>0.624431818181818</v>
      </c>
    </row>
    <row r="126" customFormat="false" ht="15" hidden="false" customHeight="false" outlineLevel="0" collapsed="false">
      <c r="A126" s="3" t="s">
        <v>8</v>
      </c>
      <c r="B126" s="3" t="s">
        <v>16</v>
      </c>
      <c r="C126" s="8" t="n">
        <f aca="false">ROUND(3958.8*5280*ACOS(MIN(1,MAX(-1,SIN(RADIANS(Locations!$B6))*SIN(RADIANS(Locations!$B14))+COS(RADIANS(Locations!$B6))*COS(RADIANS(Locations!$B14))*COS(RADIANS(Locations!$C14-Locations!$C6))))),0)</f>
        <v>3446</v>
      </c>
      <c r="D126" s="9" t="n">
        <f aca="false">C126/5280</f>
        <v>0.652651515151515</v>
      </c>
    </row>
    <row r="127" customFormat="false" ht="15" hidden="false" customHeight="false" outlineLevel="0" collapsed="false">
      <c r="A127" s="3" t="s">
        <v>13</v>
      </c>
      <c r="B127" s="3" t="s">
        <v>14</v>
      </c>
      <c r="C127" s="8" t="n">
        <f aca="false">ROUND(3958.8*5280*ACOS(MIN(1,MAX(-1,SIN(RADIANS(Locations!$B11))*SIN(RADIANS(Locations!$B12))+COS(RADIANS(Locations!$B11))*COS(RADIANS(Locations!$B12))*COS(RADIANS(Locations!$C12-Locations!$C11))))),0)</f>
        <v>3467</v>
      </c>
      <c r="D127" s="9" t="n">
        <f aca="false">C127/5280</f>
        <v>0.656628787878788</v>
      </c>
    </row>
    <row r="128" customFormat="false" ht="15" hidden="false" customHeight="false" outlineLevel="0" collapsed="false">
      <c r="A128" s="3" t="s">
        <v>6</v>
      </c>
      <c r="B128" s="3" t="s">
        <v>18</v>
      </c>
      <c r="C128" s="8" t="n">
        <f aca="false">ROUND(3958.8*5280*ACOS(MIN(1,MAX(-1,SIN(RADIANS(Locations!$B4))*SIN(RADIANS(Locations!$B16))+COS(RADIANS(Locations!$B4))*COS(RADIANS(Locations!$B16))*COS(RADIANS(Locations!$C16-Locations!$C4))))),0)</f>
        <v>3471</v>
      </c>
      <c r="D128" s="9" t="n">
        <f aca="false">C128/5280</f>
        <v>0.657386363636364</v>
      </c>
    </row>
    <row r="129" customFormat="false" ht="15" hidden="false" customHeight="false" outlineLevel="0" collapsed="false">
      <c r="A129" s="3" t="s">
        <v>7</v>
      </c>
      <c r="B129" s="3" t="s">
        <v>16</v>
      </c>
      <c r="C129" s="8" t="n">
        <f aca="false">ROUND(3958.8*5280*ACOS(MIN(1,MAX(-1,SIN(RADIANS(Locations!$B5))*SIN(RADIANS(Locations!$B14))+COS(RADIANS(Locations!$B5))*COS(RADIANS(Locations!$B14))*COS(RADIANS(Locations!$C14-Locations!$C5))))),0)</f>
        <v>3484</v>
      </c>
      <c r="D129" s="9" t="n">
        <f aca="false">C129/5280</f>
        <v>0.659848484848485</v>
      </c>
    </row>
    <row r="130" customFormat="false" ht="15" hidden="false" customHeight="false" outlineLevel="0" collapsed="false">
      <c r="A130" s="3" t="s">
        <v>5</v>
      </c>
      <c r="B130" s="3" t="s">
        <v>16</v>
      </c>
      <c r="C130" s="8" t="n">
        <f aca="false">ROUND(3958.8*5280*ACOS(MIN(1,MAX(-1,SIN(RADIANS(Locations!$B3))*SIN(RADIANS(Locations!$B14))+COS(RADIANS(Locations!$B3))*COS(RADIANS(Locations!$B14))*COS(RADIANS(Locations!$C14-Locations!$C3))))),0)</f>
        <v>3501</v>
      </c>
      <c r="D130" s="9" t="n">
        <f aca="false">C130/5280</f>
        <v>0.663068181818182</v>
      </c>
    </row>
    <row r="131" customFormat="false" ht="15" hidden="false" customHeight="false" outlineLevel="0" collapsed="false">
      <c r="A131" s="3" t="s">
        <v>4</v>
      </c>
      <c r="B131" s="3" t="s">
        <v>16</v>
      </c>
      <c r="C131" s="8" t="n">
        <f aca="false">ROUND(3958.8*5280*ACOS(MIN(1,MAX(-1,SIN(RADIANS(Locations!$B2))*SIN(RADIANS(Locations!$B14))+COS(RADIANS(Locations!$B2))*COS(RADIANS(Locations!$B14))*COS(RADIANS(Locations!$C14-Locations!$C2))))),0)</f>
        <v>3537</v>
      </c>
      <c r="D131" s="9" t="n">
        <f aca="false">C131/5280</f>
        <v>0.669886363636364</v>
      </c>
    </row>
    <row r="132" customFormat="false" ht="15" hidden="false" customHeight="false" outlineLevel="0" collapsed="false">
      <c r="A132" s="3" t="s">
        <v>11</v>
      </c>
      <c r="B132" s="3" t="s">
        <v>22</v>
      </c>
      <c r="C132" s="8" t="n">
        <f aca="false">ROUND(3958.8*5280*ACOS(MIN(1,MAX(-1,SIN(RADIANS(Locations!$B9))*SIN(RADIANS(Locations!$B20))+COS(RADIANS(Locations!$B9))*COS(RADIANS(Locations!$B20))*COS(RADIANS(Locations!$C20-Locations!$C9))))),0)</f>
        <v>3609</v>
      </c>
      <c r="D132" s="9" t="n">
        <f aca="false">C132/5280</f>
        <v>0.683522727272727</v>
      </c>
    </row>
    <row r="133" customFormat="false" ht="15" hidden="false" customHeight="false" outlineLevel="0" collapsed="false">
      <c r="A133" s="3" t="s">
        <v>11</v>
      </c>
      <c r="B133" s="3" t="s">
        <v>20</v>
      </c>
      <c r="C133" s="8" t="n">
        <f aca="false">ROUND(3958.8*5280*ACOS(MIN(1,MAX(-1,SIN(RADIANS(Locations!$B9))*SIN(RADIANS(Locations!$B18))+COS(RADIANS(Locations!$B9))*COS(RADIANS(Locations!$B18))*COS(RADIANS(Locations!$C18-Locations!$C9))))),0)</f>
        <v>3632</v>
      </c>
      <c r="D133" s="9" t="n">
        <f aca="false">C133/5280</f>
        <v>0.687878787878788</v>
      </c>
    </row>
    <row r="134" customFormat="false" ht="15" hidden="false" customHeight="false" outlineLevel="0" collapsed="false">
      <c r="A134" s="3" t="s">
        <v>6</v>
      </c>
      <c r="B134" s="3" t="s">
        <v>17</v>
      </c>
      <c r="C134" s="8" t="n">
        <f aca="false">ROUND(3958.8*5280*ACOS(MIN(1,MAX(-1,SIN(RADIANS(Locations!$B4))*SIN(RADIANS(Locations!$B15))+COS(RADIANS(Locations!$B4))*COS(RADIANS(Locations!$B15))*COS(RADIANS(Locations!$C15-Locations!$C4))))),0)</f>
        <v>3692</v>
      </c>
      <c r="D134" s="9" t="n">
        <f aca="false">C134/5280</f>
        <v>0.699242424242424</v>
      </c>
    </row>
    <row r="135" customFormat="false" ht="15" hidden="false" customHeight="false" outlineLevel="0" collapsed="false">
      <c r="A135" s="3" t="s">
        <v>14</v>
      </c>
      <c r="B135" s="3" t="s">
        <v>22</v>
      </c>
      <c r="C135" s="8" t="n">
        <f aca="false">ROUND(3958.8*5280*ACOS(MIN(1,MAX(-1,SIN(RADIANS(Locations!$B12))*SIN(RADIANS(Locations!$B20))+COS(RADIANS(Locations!$B12))*COS(RADIANS(Locations!$B20))*COS(RADIANS(Locations!$C20-Locations!$C12))))),0)</f>
        <v>3757</v>
      </c>
      <c r="D135" s="9" t="n">
        <f aca="false">C135/5280</f>
        <v>0.71155303030303</v>
      </c>
    </row>
    <row r="136" customFormat="false" ht="15" hidden="false" customHeight="false" outlineLevel="0" collapsed="false">
      <c r="A136" s="3" t="s">
        <v>6</v>
      </c>
      <c r="B136" s="3" t="s">
        <v>19</v>
      </c>
      <c r="C136" s="8" t="n">
        <f aca="false">ROUND(3958.8*5280*ACOS(MIN(1,MAX(-1,SIN(RADIANS(Locations!$B4))*SIN(RADIANS(Locations!$B17))+COS(RADIANS(Locations!$B4))*COS(RADIANS(Locations!$B17))*COS(RADIANS(Locations!$C17-Locations!$C4))))),0)</f>
        <v>3769</v>
      </c>
      <c r="D136" s="9" t="n">
        <f aca="false">C136/5280</f>
        <v>0.713825757575758</v>
      </c>
    </row>
    <row r="137" customFormat="false" ht="15" hidden="false" customHeight="false" outlineLevel="0" collapsed="false">
      <c r="A137" s="3" t="s">
        <v>13</v>
      </c>
      <c r="B137" s="3" t="s">
        <v>15</v>
      </c>
      <c r="C137" s="8" t="n">
        <f aca="false">ROUND(3958.8*5280*ACOS(MIN(1,MAX(-1,SIN(RADIANS(Locations!$B11))*SIN(RADIANS(Locations!$B13))+COS(RADIANS(Locations!$B11))*COS(RADIANS(Locations!$B13))*COS(RADIANS(Locations!$C13-Locations!$C11))))),0)</f>
        <v>3859</v>
      </c>
      <c r="D137" s="9" t="n">
        <f aca="false">C137/5280</f>
        <v>0.730871212121212</v>
      </c>
    </row>
    <row r="138" customFormat="false" ht="15" hidden="false" customHeight="false" outlineLevel="0" collapsed="false">
      <c r="A138" s="3" t="s">
        <v>12</v>
      </c>
      <c r="B138" s="3" t="s">
        <v>22</v>
      </c>
      <c r="C138" s="8" t="n">
        <f aca="false">ROUND(3958.8*5280*ACOS(MIN(1,MAX(-1,SIN(RADIANS(Locations!$B10))*SIN(RADIANS(Locations!$B20))+COS(RADIANS(Locations!$B10))*COS(RADIANS(Locations!$B20))*COS(RADIANS(Locations!$C20-Locations!$C10))))),0)</f>
        <v>4006</v>
      </c>
      <c r="D138" s="9" t="n">
        <f aca="false">C138/5280</f>
        <v>0.758712121212121</v>
      </c>
    </row>
    <row r="139" customFormat="false" ht="15" hidden="false" customHeight="false" outlineLevel="0" collapsed="false">
      <c r="A139" s="3" t="s">
        <v>12</v>
      </c>
      <c r="B139" s="3" t="s">
        <v>20</v>
      </c>
      <c r="C139" s="8" t="n">
        <f aca="false">ROUND(3958.8*5280*ACOS(MIN(1,MAX(-1,SIN(RADIANS(Locations!$B10))*SIN(RADIANS(Locations!$B18))+COS(RADIANS(Locations!$B10))*COS(RADIANS(Locations!$B18))*COS(RADIANS(Locations!$C18-Locations!$C10))))),0)</f>
        <v>4007</v>
      </c>
      <c r="D139" s="9" t="n">
        <f aca="false">C139/5280</f>
        <v>0.758901515151515</v>
      </c>
    </row>
    <row r="140" customFormat="false" ht="15" hidden="false" customHeight="false" outlineLevel="0" collapsed="false">
      <c r="A140" s="3" t="s">
        <v>11</v>
      </c>
      <c r="B140" s="3" t="s">
        <v>21</v>
      </c>
      <c r="C140" s="8" t="n">
        <f aca="false">ROUND(3958.8*5280*ACOS(MIN(1,MAX(-1,SIN(RADIANS(Locations!$B9))*SIN(RADIANS(Locations!$B19))+COS(RADIANS(Locations!$B9))*COS(RADIANS(Locations!$B19))*COS(RADIANS(Locations!$C19-Locations!$C9))))),0)</f>
        <v>4055</v>
      </c>
      <c r="D140" s="9" t="n">
        <f aca="false">C140/5280</f>
        <v>0.767992424242424</v>
      </c>
    </row>
    <row r="141" customFormat="false" ht="15" hidden="false" customHeight="false" outlineLevel="0" collapsed="false">
      <c r="A141" s="3" t="s">
        <v>10</v>
      </c>
      <c r="B141" s="3" t="s">
        <v>22</v>
      </c>
      <c r="C141" s="8" t="n">
        <f aca="false">ROUND(3958.8*5280*ACOS(MIN(1,MAX(-1,SIN(RADIANS(Locations!$B8))*SIN(RADIANS(Locations!$B20))+COS(RADIANS(Locations!$B8))*COS(RADIANS(Locations!$B20))*COS(RADIANS(Locations!$C20-Locations!$C8))))),0)</f>
        <v>4057</v>
      </c>
      <c r="D141" s="9" t="n">
        <f aca="false">C141/5280</f>
        <v>0.768371212121212</v>
      </c>
    </row>
    <row r="142" customFormat="false" ht="15" hidden="false" customHeight="false" outlineLevel="0" collapsed="false">
      <c r="A142" s="3" t="s">
        <v>6</v>
      </c>
      <c r="B142" s="3" t="s">
        <v>16</v>
      </c>
      <c r="C142" s="8" t="n">
        <f aca="false">ROUND(3958.8*5280*ACOS(MIN(1,MAX(-1,SIN(RADIANS(Locations!$B4))*SIN(RADIANS(Locations!$B14))+COS(RADIANS(Locations!$B4))*COS(RADIANS(Locations!$B14))*COS(RADIANS(Locations!$C14-Locations!$C4))))),0)</f>
        <v>4104</v>
      </c>
      <c r="D142" s="9" t="n">
        <f aca="false">C142/5280</f>
        <v>0.777272727272727</v>
      </c>
    </row>
    <row r="143" customFormat="false" ht="15" hidden="false" customHeight="false" outlineLevel="0" collapsed="false">
      <c r="A143" s="3" t="s">
        <v>14</v>
      </c>
      <c r="B143" s="3" t="s">
        <v>20</v>
      </c>
      <c r="C143" s="8" t="n">
        <f aca="false">ROUND(3958.8*5280*ACOS(MIN(1,MAX(-1,SIN(RADIANS(Locations!$B12))*SIN(RADIANS(Locations!$B18))+COS(RADIANS(Locations!$B12))*COS(RADIANS(Locations!$B18))*COS(RADIANS(Locations!$C18-Locations!$C12))))),0)</f>
        <v>4214</v>
      </c>
      <c r="D143" s="9" t="n">
        <f aca="false">C143/5280</f>
        <v>0.798106060606061</v>
      </c>
    </row>
    <row r="144" customFormat="false" ht="15" hidden="false" customHeight="false" outlineLevel="0" collapsed="false">
      <c r="A144" s="3" t="s">
        <v>10</v>
      </c>
      <c r="B144" s="3" t="s">
        <v>20</v>
      </c>
      <c r="C144" s="8" t="n">
        <f aca="false">ROUND(3958.8*5280*ACOS(MIN(1,MAX(-1,SIN(RADIANS(Locations!$B8))*SIN(RADIANS(Locations!$B18))+COS(RADIANS(Locations!$B8))*COS(RADIANS(Locations!$B18))*COS(RADIANS(Locations!$C18-Locations!$C8))))),0)</f>
        <v>4237</v>
      </c>
      <c r="D144" s="9" t="n">
        <f aca="false">C144/5280</f>
        <v>0.802462121212121</v>
      </c>
    </row>
    <row r="145" customFormat="false" ht="15" hidden="false" customHeight="false" outlineLevel="0" collapsed="false">
      <c r="A145" s="3" t="s">
        <v>7</v>
      </c>
      <c r="B145" s="3" t="s">
        <v>20</v>
      </c>
      <c r="C145" s="8" t="n">
        <f aca="false">ROUND(3958.8*5280*ACOS(MIN(1,MAX(-1,SIN(RADIANS(Locations!$B5))*SIN(RADIANS(Locations!$B18))+COS(RADIANS(Locations!$B5))*COS(RADIANS(Locations!$B18))*COS(RADIANS(Locations!$C18-Locations!$C5))))),0)</f>
        <v>4247</v>
      </c>
      <c r="D145" s="9" t="n">
        <f aca="false">C145/5280</f>
        <v>0.804356060606061</v>
      </c>
    </row>
    <row r="146" customFormat="false" ht="15" hidden="false" customHeight="false" outlineLevel="0" collapsed="false">
      <c r="A146" s="3" t="s">
        <v>14</v>
      </c>
      <c r="B146" s="3" t="s">
        <v>21</v>
      </c>
      <c r="C146" s="8" t="n">
        <f aca="false">ROUND(3958.8*5280*ACOS(MIN(1,MAX(-1,SIN(RADIANS(Locations!$B12))*SIN(RADIANS(Locations!$B19))+COS(RADIANS(Locations!$B12))*COS(RADIANS(Locations!$B19))*COS(RADIANS(Locations!$C19-Locations!$C12))))),0)</f>
        <v>4261</v>
      </c>
      <c r="D146" s="9" t="n">
        <f aca="false">C146/5280</f>
        <v>0.807007575757576</v>
      </c>
    </row>
    <row r="147" customFormat="false" ht="15" hidden="false" customHeight="false" outlineLevel="0" collapsed="false">
      <c r="A147" s="3" t="s">
        <v>9</v>
      </c>
      <c r="B147" s="3" t="s">
        <v>22</v>
      </c>
      <c r="C147" s="8" t="n">
        <f aca="false">ROUND(3958.8*5280*ACOS(MIN(1,MAX(-1,SIN(RADIANS(Locations!$B7))*SIN(RADIANS(Locations!$B20))+COS(RADIANS(Locations!$B7))*COS(RADIANS(Locations!$B20))*COS(RADIANS(Locations!$C20-Locations!$C7))))),0)</f>
        <v>4314</v>
      </c>
      <c r="D147" s="9" t="n">
        <f aca="false">C147/5280</f>
        <v>0.817045454545455</v>
      </c>
    </row>
    <row r="148" customFormat="false" ht="15" hidden="false" customHeight="false" outlineLevel="0" collapsed="false">
      <c r="A148" s="3" t="s">
        <v>7</v>
      </c>
      <c r="B148" s="3" t="s">
        <v>22</v>
      </c>
      <c r="C148" s="8" t="n">
        <f aca="false">ROUND(3958.8*5280*ACOS(MIN(1,MAX(-1,SIN(RADIANS(Locations!$B5))*SIN(RADIANS(Locations!$B20))+COS(RADIANS(Locations!$B5))*COS(RADIANS(Locations!$B20))*COS(RADIANS(Locations!$C20-Locations!$C5))))),0)</f>
        <v>4380</v>
      </c>
      <c r="D148" s="9" t="n">
        <f aca="false">C148/5280</f>
        <v>0.829545454545455</v>
      </c>
    </row>
    <row r="149" customFormat="false" ht="15" hidden="false" customHeight="false" outlineLevel="0" collapsed="false">
      <c r="A149" s="3" t="s">
        <v>12</v>
      </c>
      <c r="B149" s="3" t="s">
        <v>21</v>
      </c>
      <c r="C149" s="8" t="n">
        <f aca="false">ROUND(3958.8*5280*ACOS(MIN(1,MAX(-1,SIN(RADIANS(Locations!$B10))*SIN(RADIANS(Locations!$B19))+COS(RADIANS(Locations!$B10))*COS(RADIANS(Locations!$B19))*COS(RADIANS(Locations!$C19-Locations!$C10))))),0)</f>
        <v>4448</v>
      </c>
      <c r="D149" s="9" t="n">
        <f aca="false">C149/5280</f>
        <v>0.842424242424242</v>
      </c>
    </row>
    <row r="150" customFormat="false" ht="15" hidden="false" customHeight="false" outlineLevel="0" collapsed="false">
      <c r="A150" s="3" t="s">
        <v>9</v>
      </c>
      <c r="B150" s="3" t="s">
        <v>20</v>
      </c>
      <c r="C150" s="8" t="n">
        <f aca="false">ROUND(3958.8*5280*ACOS(MIN(1,MAX(-1,SIN(RADIANS(Locations!$B7))*SIN(RADIANS(Locations!$B18))+COS(RADIANS(Locations!$B7))*COS(RADIANS(Locations!$B18))*COS(RADIANS(Locations!$C18-Locations!$C7))))),0)</f>
        <v>4477</v>
      </c>
      <c r="D150" s="9" t="n">
        <f aca="false">C150/5280</f>
        <v>0.847916666666667</v>
      </c>
    </row>
    <row r="151" customFormat="false" ht="15" hidden="false" customHeight="false" outlineLevel="0" collapsed="false">
      <c r="A151" s="3" t="s">
        <v>5</v>
      </c>
      <c r="B151" s="3" t="s">
        <v>20</v>
      </c>
      <c r="C151" s="8" t="n">
        <f aca="false">ROUND(3958.8*5280*ACOS(MIN(1,MAX(-1,SIN(RADIANS(Locations!$B3))*SIN(RADIANS(Locations!$B18))+COS(RADIANS(Locations!$B3))*COS(RADIANS(Locations!$B18))*COS(RADIANS(Locations!$C18-Locations!$C3))))),0)</f>
        <v>4508</v>
      </c>
      <c r="D151" s="9" t="n">
        <f aca="false">C151/5280</f>
        <v>0.853787878787879</v>
      </c>
    </row>
    <row r="152" customFormat="false" ht="15" hidden="false" customHeight="false" outlineLevel="0" collapsed="false">
      <c r="A152" s="3" t="s">
        <v>10</v>
      </c>
      <c r="B152" s="3" t="s">
        <v>21</v>
      </c>
      <c r="C152" s="8" t="n">
        <f aca="false">ROUND(3958.8*5280*ACOS(MIN(1,MAX(-1,SIN(RADIANS(Locations!$B8))*SIN(RADIANS(Locations!$B19))+COS(RADIANS(Locations!$B8))*COS(RADIANS(Locations!$B19))*COS(RADIANS(Locations!$C19-Locations!$C8))))),0)</f>
        <v>4540</v>
      </c>
      <c r="D152" s="9" t="n">
        <f aca="false">C152/5280</f>
        <v>0.859848484848485</v>
      </c>
    </row>
    <row r="153" customFormat="false" ht="15" hidden="false" customHeight="false" outlineLevel="0" collapsed="false">
      <c r="A153" s="3" t="s">
        <v>5</v>
      </c>
      <c r="B153" s="3" t="s">
        <v>22</v>
      </c>
      <c r="C153" s="8" t="n">
        <f aca="false">ROUND(3958.8*5280*ACOS(MIN(1,MAX(-1,SIN(RADIANS(Locations!$B3))*SIN(RADIANS(Locations!$B20))+COS(RADIANS(Locations!$B3))*COS(RADIANS(Locations!$B20))*COS(RADIANS(Locations!$C20-Locations!$C3))))),0)</f>
        <v>4559</v>
      </c>
      <c r="D153" s="9" t="n">
        <f aca="false">C153/5280</f>
        <v>0.86344696969697</v>
      </c>
    </row>
    <row r="154" customFormat="false" ht="15" hidden="false" customHeight="false" outlineLevel="0" collapsed="false">
      <c r="A154" s="3" t="s">
        <v>8</v>
      </c>
      <c r="B154" s="3" t="s">
        <v>22</v>
      </c>
      <c r="C154" s="8" t="n">
        <f aca="false">ROUND(3958.8*5280*ACOS(MIN(1,MAX(-1,SIN(RADIANS(Locations!$B6))*SIN(RADIANS(Locations!$B20))+COS(RADIANS(Locations!$B6))*COS(RADIANS(Locations!$B20))*COS(RADIANS(Locations!$C20-Locations!$C6))))),0)</f>
        <v>4664</v>
      </c>
      <c r="D154" s="9" t="n">
        <f aca="false">C154/5280</f>
        <v>0.883333333333333</v>
      </c>
    </row>
    <row r="155" customFormat="false" ht="15" hidden="false" customHeight="false" outlineLevel="0" collapsed="false">
      <c r="A155" s="3" t="s">
        <v>4</v>
      </c>
      <c r="B155" s="3" t="s">
        <v>22</v>
      </c>
      <c r="C155" s="8" t="n">
        <f aca="false">ROUND(3958.8*5280*ACOS(MIN(1,MAX(-1,SIN(RADIANS(Locations!$B2))*SIN(RADIANS(Locations!$B20))+COS(RADIANS(Locations!$B2))*COS(RADIANS(Locations!$B20))*COS(RADIANS(Locations!$C20-Locations!$C2))))),0)</f>
        <v>4696</v>
      </c>
      <c r="D155" s="9" t="n">
        <f aca="false">C155/5280</f>
        <v>0.889393939393939</v>
      </c>
    </row>
    <row r="156" customFormat="false" ht="15" hidden="false" customHeight="false" outlineLevel="0" collapsed="false">
      <c r="A156" s="3" t="s">
        <v>4</v>
      </c>
      <c r="B156" s="3" t="s">
        <v>20</v>
      </c>
      <c r="C156" s="8" t="n">
        <f aca="false">ROUND(3958.8*5280*ACOS(MIN(1,MAX(-1,SIN(RADIANS(Locations!$B2))*SIN(RADIANS(Locations!$B18))+COS(RADIANS(Locations!$B2))*COS(RADIANS(Locations!$B18))*COS(RADIANS(Locations!$C18-Locations!$C2))))),0)</f>
        <v>4699</v>
      </c>
      <c r="D156" s="9" t="n">
        <f aca="false">C156/5280</f>
        <v>0.889962121212121</v>
      </c>
    </row>
    <row r="157" customFormat="false" ht="15" hidden="false" customHeight="false" outlineLevel="0" collapsed="false">
      <c r="A157" s="3" t="s">
        <v>8</v>
      </c>
      <c r="B157" s="3" t="s">
        <v>20</v>
      </c>
      <c r="C157" s="8" t="n">
        <f aca="false">ROUND(3958.8*5280*ACOS(MIN(1,MAX(-1,SIN(RADIANS(Locations!$B6))*SIN(RADIANS(Locations!$B18))+COS(RADIANS(Locations!$B6))*COS(RADIANS(Locations!$B18))*COS(RADIANS(Locations!$C18-Locations!$C6))))),0)</f>
        <v>4706</v>
      </c>
      <c r="D157" s="9" t="n">
        <f aca="false">C157/5280</f>
        <v>0.891287878787879</v>
      </c>
    </row>
    <row r="158" customFormat="false" ht="15" hidden="false" customHeight="false" outlineLevel="0" collapsed="false">
      <c r="A158" s="3" t="s">
        <v>7</v>
      </c>
      <c r="B158" s="3" t="s">
        <v>21</v>
      </c>
      <c r="C158" s="8" t="n">
        <f aca="false">ROUND(3958.8*5280*ACOS(MIN(1,MAX(-1,SIN(RADIANS(Locations!$B5))*SIN(RADIANS(Locations!$B19))+COS(RADIANS(Locations!$B5))*COS(RADIANS(Locations!$B19))*COS(RADIANS(Locations!$C19-Locations!$C5))))),0)</f>
        <v>4781</v>
      </c>
      <c r="D158" s="9" t="n">
        <f aca="false">C158/5280</f>
        <v>0.905492424242424</v>
      </c>
    </row>
    <row r="159" customFormat="false" ht="15" hidden="false" customHeight="false" outlineLevel="0" collapsed="false">
      <c r="A159" s="3" t="s">
        <v>9</v>
      </c>
      <c r="B159" s="3" t="s">
        <v>21</v>
      </c>
      <c r="C159" s="8" t="n">
        <f aca="false">ROUND(3958.8*5280*ACOS(MIN(1,MAX(-1,SIN(RADIANS(Locations!$B7))*SIN(RADIANS(Locations!$B19))+COS(RADIANS(Locations!$B7))*COS(RADIANS(Locations!$B19))*COS(RADIANS(Locations!$C19-Locations!$C7))))),0)</f>
        <v>4795</v>
      </c>
      <c r="D159" s="9" t="n">
        <f aca="false">C159/5280</f>
        <v>0.908143939393939</v>
      </c>
    </row>
    <row r="160" customFormat="false" ht="15" hidden="false" customHeight="false" outlineLevel="0" collapsed="false">
      <c r="A160" s="3" t="s">
        <v>5</v>
      </c>
      <c r="B160" s="3" t="s">
        <v>21</v>
      </c>
      <c r="C160" s="8" t="n">
        <f aca="false">ROUND(3958.8*5280*ACOS(MIN(1,MAX(-1,SIN(RADIANS(Locations!$B3))*SIN(RADIANS(Locations!$B19))+COS(RADIANS(Locations!$B3))*COS(RADIANS(Locations!$B19))*COS(RADIANS(Locations!$C19-Locations!$C3))))),0)</f>
        <v>4988</v>
      </c>
      <c r="D160" s="9" t="n">
        <f aca="false">C160/5280</f>
        <v>0.94469696969697</v>
      </c>
    </row>
    <row r="161" customFormat="false" ht="15" hidden="false" customHeight="false" outlineLevel="0" collapsed="false">
      <c r="A161" s="3" t="s">
        <v>13</v>
      </c>
      <c r="B161" s="3" t="s">
        <v>18</v>
      </c>
      <c r="C161" s="8" t="n">
        <f aca="false">ROUND(3958.8*5280*ACOS(MIN(1,MAX(-1,SIN(RADIANS(Locations!$B11))*SIN(RADIANS(Locations!$B16))+COS(RADIANS(Locations!$B11))*COS(RADIANS(Locations!$B16))*COS(RADIANS(Locations!$C16-Locations!$C11))))),0)</f>
        <v>5014</v>
      </c>
      <c r="D161" s="9" t="n">
        <f aca="false">C161/5280</f>
        <v>0.949621212121212</v>
      </c>
    </row>
    <row r="162" customFormat="false" ht="15" hidden="false" customHeight="false" outlineLevel="0" collapsed="false">
      <c r="A162" s="3" t="s">
        <v>8</v>
      </c>
      <c r="B162" s="3" t="s">
        <v>21</v>
      </c>
      <c r="C162" s="8" t="n">
        <f aca="false">ROUND(3958.8*5280*ACOS(MIN(1,MAX(-1,SIN(RADIANS(Locations!$B6))*SIN(RADIANS(Locations!$B19))+COS(RADIANS(Locations!$B6))*COS(RADIANS(Locations!$B19))*COS(RADIANS(Locations!$C19-Locations!$C6))))),0)</f>
        <v>5119</v>
      </c>
      <c r="D162" s="9" t="n">
        <f aca="false">C162/5280</f>
        <v>0.969507575757576</v>
      </c>
    </row>
    <row r="163" customFormat="false" ht="15" hidden="false" customHeight="false" outlineLevel="0" collapsed="false">
      <c r="A163" s="3" t="s">
        <v>13</v>
      </c>
      <c r="B163" s="3" t="s">
        <v>17</v>
      </c>
      <c r="C163" s="8" t="n">
        <f aca="false">ROUND(3958.8*5280*ACOS(MIN(1,MAX(-1,SIN(RADIANS(Locations!$B11))*SIN(RADIANS(Locations!$B15))+COS(RADIANS(Locations!$B11))*COS(RADIANS(Locations!$B15))*COS(RADIANS(Locations!$C15-Locations!$C11))))),0)</f>
        <v>5126</v>
      </c>
      <c r="D163" s="9" t="n">
        <f aca="false">C163/5280</f>
        <v>0.970833333333333</v>
      </c>
    </row>
    <row r="164" customFormat="false" ht="15" hidden="false" customHeight="false" outlineLevel="0" collapsed="false">
      <c r="A164" s="3" t="s">
        <v>6</v>
      </c>
      <c r="B164" s="3" t="s">
        <v>20</v>
      </c>
      <c r="C164" s="8" t="n">
        <f aca="false">ROUND(3958.8*5280*ACOS(MIN(1,MAX(-1,SIN(RADIANS(Locations!$B4))*SIN(RADIANS(Locations!$B18))+COS(RADIANS(Locations!$B4))*COS(RADIANS(Locations!$B18))*COS(RADIANS(Locations!$C18-Locations!$C4))))),0)</f>
        <v>5134</v>
      </c>
      <c r="D164" s="9" t="n">
        <f aca="false">C164/5280</f>
        <v>0.972348484848485</v>
      </c>
    </row>
    <row r="165" customFormat="false" ht="15" hidden="false" customHeight="false" outlineLevel="0" collapsed="false">
      <c r="A165" s="3" t="s">
        <v>4</v>
      </c>
      <c r="B165" s="3" t="s">
        <v>21</v>
      </c>
      <c r="C165" s="8" t="n">
        <f aca="false">ROUND(3958.8*5280*ACOS(MIN(1,MAX(-1,SIN(RADIANS(Locations!$B2))*SIN(RADIANS(Locations!$B19))+COS(RADIANS(Locations!$B2))*COS(RADIANS(Locations!$B19))*COS(RADIANS(Locations!$C19-Locations!$C2))))),0)</f>
        <v>5141</v>
      </c>
      <c r="D165" s="9" t="n">
        <f aca="false">C165/5280</f>
        <v>0.973674242424242</v>
      </c>
    </row>
    <row r="166" customFormat="false" ht="15" hidden="false" customHeight="false" outlineLevel="0" collapsed="false">
      <c r="A166" s="3" t="s">
        <v>6</v>
      </c>
      <c r="B166" s="3" t="s">
        <v>22</v>
      </c>
      <c r="C166" s="8" t="n">
        <f aca="false">ROUND(3958.8*5280*ACOS(MIN(1,MAX(-1,SIN(RADIANS(Locations!$B4))*SIN(RADIANS(Locations!$B20))+COS(RADIANS(Locations!$B4))*COS(RADIANS(Locations!$B20))*COS(RADIANS(Locations!$C20-Locations!$C4))))),0)</f>
        <v>5192</v>
      </c>
      <c r="D166" s="9" t="n">
        <f aca="false">C166/5280</f>
        <v>0.983333333333333</v>
      </c>
    </row>
    <row r="167" customFormat="false" ht="15" hidden="false" customHeight="false" outlineLevel="0" collapsed="false">
      <c r="A167" s="3" t="s">
        <v>13</v>
      </c>
      <c r="B167" s="3" t="s">
        <v>16</v>
      </c>
      <c r="C167" s="8" t="n">
        <f aca="false">ROUND(3958.8*5280*ACOS(MIN(1,MAX(-1,SIN(RADIANS(Locations!$B11))*SIN(RADIANS(Locations!$B14))+COS(RADIANS(Locations!$B11))*COS(RADIANS(Locations!$B14))*COS(RADIANS(Locations!$C14-Locations!$C11))))),0)</f>
        <v>5202</v>
      </c>
      <c r="D167" s="9" t="n">
        <f aca="false">C167/5280</f>
        <v>0.985227272727273</v>
      </c>
    </row>
    <row r="168" customFormat="false" ht="15" hidden="false" customHeight="false" outlineLevel="0" collapsed="false">
      <c r="A168" s="3" t="s">
        <v>13</v>
      </c>
      <c r="B168" s="3" t="s">
        <v>19</v>
      </c>
      <c r="C168" s="8" t="n">
        <f aca="false">ROUND(3958.8*5280*ACOS(MIN(1,MAX(-1,SIN(RADIANS(Locations!$B11))*SIN(RADIANS(Locations!$B17))+COS(RADIANS(Locations!$B11))*COS(RADIANS(Locations!$B17))*COS(RADIANS(Locations!$C17-Locations!$C11))))),0)</f>
        <v>5312</v>
      </c>
      <c r="D168" s="9" t="n">
        <f aca="false">C168/5280</f>
        <v>1.00606060606061</v>
      </c>
    </row>
    <row r="169" customFormat="false" ht="15" hidden="false" customHeight="false" outlineLevel="0" collapsed="false">
      <c r="A169" s="3" t="s">
        <v>6</v>
      </c>
      <c r="B169" s="3" t="s">
        <v>21</v>
      </c>
      <c r="C169" s="8" t="n">
        <f aca="false">ROUND(3958.8*5280*ACOS(MIN(1,MAX(-1,SIN(RADIANS(Locations!$B4))*SIN(RADIANS(Locations!$B19))+COS(RADIANS(Locations!$B4))*COS(RADIANS(Locations!$B19))*COS(RADIANS(Locations!$C19-Locations!$C4))))),0)</f>
        <v>5620</v>
      </c>
      <c r="D169" s="9" t="n">
        <f aca="false">C169/5280</f>
        <v>1.06439393939394</v>
      </c>
    </row>
    <row r="170" customFormat="false" ht="15" hidden="false" customHeight="false" outlineLevel="0" collapsed="false">
      <c r="A170" s="3" t="s">
        <v>13</v>
      </c>
      <c r="B170" s="3" t="s">
        <v>22</v>
      </c>
      <c r="C170" s="8" t="n">
        <f aca="false">ROUND(3958.8*5280*ACOS(MIN(1,MAX(-1,SIN(RADIANS(Locations!$B11))*SIN(RADIANS(Locations!$B20))+COS(RADIANS(Locations!$B11))*COS(RADIANS(Locations!$B20))*COS(RADIANS(Locations!$C20-Locations!$C11))))),0)</f>
        <v>6617</v>
      </c>
      <c r="D170" s="9" t="n">
        <f aca="false">C170/5280</f>
        <v>1.2532196969697</v>
      </c>
    </row>
    <row r="171" customFormat="false" ht="15" hidden="false" customHeight="false" outlineLevel="0" collapsed="false">
      <c r="A171" s="3" t="s">
        <v>13</v>
      </c>
      <c r="B171" s="3" t="s">
        <v>20</v>
      </c>
      <c r="C171" s="8" t="n">
        <f aca="false">ROUND(3958.8*5280*ACOS(MIN(1,MAX(-1,SIN(RADIANS(Locations!$B11))*SIN(RADIANS(Locations!$B18))+COS(RADIANS(Locations!$B11))*COS(RADIANS(Locations!$B18))*COS(RADIANS(Locations!$C18-Locations!$C11))))),0)</f>
        <v>6750</v>
      </c>
      <c r="D171" s="9" t="n">
        <f aca="false">C171/5280</f>
        <v>1.27840909090909</v>
      </c>
    </row>
    <row r="172" customFormat="false" ht="15" hidden="false" customHeight="false" outlineLevel="0" collapsed="false">
      <c r="A172" s="3" t="s">
        <v>13</v>
      </c>
      <c r="B172" s="3" t="s">
        <v>21</v>
      </c>
      <c r="C172" s="8" t="n">
        <f aca="false">ROUND(3958.8*5280*ACOS(MIN(1,MAX(-1,SIN(RADIANS(Locations!$B11))*SIN(RADIANS(Locations!$B19))+COS(RADIANS(Locations!$B11))*COS(RADIANS(Locations!$B19))*COS(RADIANS(Locations!$C19-Locations!$C11))))),0)</f>
        <v>7097</v>
      </c>
      <c r="D172" s="9" t="n">
        <f aca="false">C172/5280</f>
        <v>1.34412878787879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2026-07-21T23:39:04Z</dcterms:created>
  <dc:creator>openpyxl</dc:creator>
  <dc:description/>
  <dc:language>en-US</dc:language>
  <cp:lastModifiedBy/>
  <dcterms:modified xsi:type="dcterms:W3CDTF">2026-07-21T23:39:05Z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